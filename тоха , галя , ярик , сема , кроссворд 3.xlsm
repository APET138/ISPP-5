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-120" yWindow="-120" windowWidth="25440" windowHeight="15540" activeTab="1"/>
  </bookViews>
  <sheets>
    <sheet name="Титульный лист" sheetId="1" r:id="rId1"/>
    <sheet name="Кроссворд" sheetId="2" r:id="rId2"/>
    <sheet name="Вопросы" sheetId="3" r:id="rId3"/>
    <sheet name="Результат" sheetId="4" r:id="rId4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5" i="4" l="1"/>
  <c r="BD29" i="4" s="1"/>
  <c r="AL24" i="4"/>
  <c r="BD28" i="4" s="1"/>
  <c r="AL20" i="4"/>
  <c r="BD24" i="4" s="1"/>
  <c r="AL16" i="4"/>
  <c r="BD20" i="4" s="1"/>
  <c r="AL23" i="4"/>
  <c r="BD27" i="4" s="1"/>
  <c r="AL22" i="4"/>
  <c r="BD26" i="4" s="1"/>
  <c r="AL21" i="4"/>
  <c r="BD25" i="4" s="1"/>
  <c r="AL19" i="4"/>
  <c r="BD23" i="4" s="1"/>
  <c r="AL18" i="4"/>
  <c r="BD22" i="4" s="1"/>
  <c r="AL17" i="4"/>
  <c r="BD21" i="4" s="1"/>
  <c r="AL15" i="4"/>
  <c r="BD19" i="4" s="1"/>
  <c r="AL14" i="4"/>
  <c r="BD18" i="4" s="1"/>
  <c r="AL13" i="4"/>
  <c r="BD17" i="4" s="1"/>
  <c r="AL12" i="4"/>
  <c r="BD16" i="4" s="1"/>
  <c r="AL11" i="4"/>
  <c r="BD15" i="4" s="1"/>
  <c r="AH17" i="4" l="1"/>
  <c r="AH18" i="4" s="1"/>
</calcChain>
</file>

<file path=xl/comments1.xml><?xml version="1.0" encoding="utf-8"?>
<comments xmlns="http://schemas.openxmlformats.org/spreadsheetml/2006/main">
  <authors>
    <author>Демешко_ЕО</author>
  </authors>
  <commentList>
    <comment ref="M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 Устройство компьютера, позволяющее осуществить чтение и запись информации на съемный носитель информации.</t>
        </r>
      </text>
    </comment>
    <comment ref="J3" authorId="0">
      <text>
        <r>
          <rPr>
            <sz val="9"/>
            <color indexed="81"/>
            <rFont val="Tahoma"/>
            <family val="2"/>
            <charset val="204"/>
          </rPr>
          <t>Устройство преобразователь преобразующее звук в электрический сигнал.</t>
        </r>
      </text>
    </comment>
    <comment ref="P3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разрядов электронного устройства или шины одновременно обрабатываемых этим устройством или передаваемых этой шиной.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04"/>
          </rPr>
          <t>Устройство вывода которое отображает информацию в графической или текстовой форме.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 Набор микропрограмм реализующей низкоуровневые API для работы с аппаратурой компьютеры подключенные к нему устройствами.</t>
        </r>
      </text>
    </comment>
    <comment ref="U8" authorId="0">
      <text>
        <r>
          <rPr>
            <b/>
            <sz val="9"/>
            <color indexed="81"/>
            <rFont val="Tahoma"/>
            <family val="2"/>
            <charset val="204"/>
          </rPr>
          <t>Специальная электронная плата которая позволяет записывать звук воспроизводить его и создавать программными средствами с помощью микрофона наушников динамиков встроенного синтезатора и другого оборудования.</t>
        </r>
      </text>
    </comment>
    <comment ref="E9" authorId="0">
      <text>
        <r>
          <rPr>
            <sz val="9"/>
            <color indexed="81"/>
            <rFont val="Tahoma"/>
            <family val="2"/>
            <charset val="204"/>
          </rPr>
          <t xml:space="preserve">
Запоминающее устройство произвольного доступа, основанное на принципе магнитной записи.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04"/>
          </rPr>
          <t>Набор правил и методов, описывающих функциональность, организацию и реализацию комп систем.</t>
        </r>
      </text>
    </comment>
    <comment ref="C1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 Функциональный блок защищающий внутренние компоненты компьютера от внешнего воздействия механических повреждений и поддерживающие необходимый температурный режим внутри.</t>
        </r>
      </text>
    </comment>
    <comment ref="R11" authorId="0">
      <text>
        <r>
          <rPr>
            <b/>
            <sz val="9"/>
            <color indexed="81"/>
            <rFont val="Tahoma"/>
            <family val="2"/>
            <charset val="204"/>
          </rPr>
          <t>Основное устройство компьютера, осуществляющее программируемую обработку информации и координацию работу его устройств.</t>
        </r>
      </text>
    </comment>
    <comment ref="T12" authorId="0">
      <text>
        <r>
          <rPr>
            <b/>
            <sz val="9"/>
            <color indexed="81"/>
            <rFont val="Tahoma"/>
            <family val="2"/>
            <charset val="204"/>
          </rPr>
          <t>Элемент вычислительной машины осуществляющий определенные преобразования сигнала.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 Устройство, позволяющее пользователю вводить информацию в компьютер.</t>
        </r>
      </text>
    </comment>
    <comment ref="D15" authorId="0">
      <text>
        <r>
          <rPr>
            <b/>
            <sz val="9"/>
            <color indexed="81"/>
            <rFont val="Tahoma"/>
            <family val="2"/>
            <charset val="204"/>
          </rPr>
          <t>Цифровая схема, которая выполняет сложение чисел.</t>
        </r>
      </text>
    </comment>
    <comment ref="N1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 Электронная энергозависимая запоминающее устройство.</t>
        </r>
      </text>
    </comment>
    <comment ref="B17" authorId="0">
      <text>
        <r>
          <rPr>
            <b/>
            <sz val="9"/>
            <color indexed="81"/>
            <rFont val="Tahoma"/>
            <family val="2"/>
            <charset val="204"/>
          </rPr>
          <t>Форма компьютерной памяти, которая может быть прочитана и изменена в любом порядка, обычно используемая для хранения рабочих данных и машинного кода.</t>
        </r>
      </text>
    </comment>
  </commentList>
</comments>
</file>

<file path=xl/sharedStrings.xml><?xml version="1.0" encoding="utf-8"?>
<sst xmlns="http://schemas.openxmlformats.org/spreadsheetml/2006/main" count="308" uniqueCount="87">
  <si>
    <t>Министерство образования Иркутской области Государственное бюджетное профессиональное образовательное учреждение "Ангарский промышленно-экономический техникум"</t>
  </si>
  <si>
    <t>Ангарск</t>
  </si>
  <si>
    <t>2022г.</t>
  </si>
  <si>
    <r>
      <rPr>
        <b/>
        <sz val="11"/>
        <color theme="1"/>
        <rFont val="Times New Roman"/>
        <family val="1"/>
        <charset val="204"/>
      </rPr>
      <t>Тема</t>
    </r>
    <r>
      <rPr>
        <sz val="11"/>
        <color theme="1"/>
        <rFont val="Times New Roman"/>
        <family val="1"/>
        <charset val="204"/>
      </rPr>
      <t>: "Архитектура аппаратных средств"</t>
    </r>
  </si>
  <si>
    <t>Проверил Аверьянов Николай Владимирович</t>
  </si>
  <si>
    <t>д</t>
  </si>
  <si>
    <t>и</t>
  </si>
  <si>
    <t>с</t>
  </si>
  <si>
    <t>к</t>
  </si>
  <si>
    <t>о</t>
  </si>
  <si>
    <t>в</t>
  </si>
  <si>
    <t>т</t>
  </si>
  <si>
    <t>р</t>
  </si>
  <si>
    <t>м</t>
  </si>
  <si>
    <t>н</t>
  </si>
  <si>
    <t>ф</t>
  </si>
  <si>
    <t>б</t>
  </si>
  <si>
    <t>ы</t>
  </si>
  <si>
    <t>й</t>
  </si>
  <si>
    <t>е</t>
  </si>
  <si>
    <t>ч</t>
  </si>
  <si>
    <t>у</t>
  </si>
  <si>
    <t>а</t>
  </si>
  <si>
    <t>з</t>
  </si>
  <si>
    <t>я</t>
  </si>
  <si>
    <t>ь</t>
  </si>
  <si>
    <t>п</t>
  </si>
  <si>
    <t>ц</t>
  </si>
  <si>
    <t>л</t>
  </si>
  <si>
    <t>х</t>
  </si>
  <si>
    <t>Баллы</t>
  </si>
  <si>
    <t>Оценка</t>
  </si>
  <si>
    <t>4 и менее</t>
  </si>
  <si>
    <t>Проверка</t>
  </si>
  <si>
    <t>8-14</t>
  </si>
  <si>
    <t>5-7</t>
  </si>
  <si>
    <t>1.</t>
  </si>
  <si>
    <t>монитор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</si>
  <si>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</si>
  <si>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</si>
  <si>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</si>
  <si>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</si>
  <si>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</si>
  <si>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</si>
  <si>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</si>
  <si>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</si>
  <si>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</si>
  <si>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</si>
  <si>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</si>
  <si>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</si>
  <si>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</si>
  <si>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</si>
  <si>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разрядность</t>
  </si>
  <si>
    <t>микрофон</t>
  </si>
  <si>
    <t>дисковод</t>
  </si>
  <si>
    <t>биос</t>
  </si>
  <si>
    <t>винчестер</t>
  </si>
  <si>
    <t>клавиатура</t>
  </si>
  <si>
    <t>процессор</t>
  </si>
  <si>
    <t>видеопамять</t>
  </si>
  <si>
    <t>инвертор</t>
  </si>
  <si>
    <t>Выполнили студенты группы ИСПП-5 Демешко Екатерина Олеговна,</t>
  </si>
  <si>
    <t>Васильева Анастасия Витальевна, Работягова Александра Андреевна.</t>
  </si>
  <si>
    <t>Критерии оценки</t>
  </si>
  <si>
    <r>
      <t>1.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Устройство вывода которое отображает информацию в графической или текстовой форме.</t>
    </r>
  </si>
  <si>
    <r>
      <t>2.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Количество разрядов электронного устройства или шины одновременно обрабатываемых этим устройством или передаваемых этой шиной.</t>
    </r>
  </si>
  <si>
    <r>
      <t>3.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Устройство преобразователь преобразующее звук в электрический сигнал.</t>
    </r>
  </si>
  <si>
    <r>
      <t>4.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Устройство компьютера, позволяющее осуществить чтение и запись информации на съемный носитель информации.</t>
    </r>
  </si>
  <si>
    <r>
      <t>5.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Набор микропрограмм реализующей низкоуровневые API для работы с аппаратурой компьютеры подключенные к нему устройствами.</t>
    </r>
  </si>
  <si>
    <r>
      <t>7.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Запоминающее устройство произвольного доступа, основанное на принципе магнитной записи.</t>
    </r>
  </si>
  <si>
    <r>
      <t>8.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Устройство, позволяющее пользователю вводить информацию в компьютер.</t>
    </r>
  </si>
  <si>
    <r>
      <t>9.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Основное устройство компьютера, осуществляющее программируемую обработку информации и координацию работу его устройств.</t>
    </r>
  </si>
  <si>
    <r>
      <t>10.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Электронная энергозависимая запоминающее устройство.</t>
    </r>
  </si>
  <si>
    <r>
      <t>11.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Специальная электронная плата которая позволяет записывать звук воспроизводить его и создавать программными средствами с помощью микрофона наушников динамиков встроенного синтезатора и другого оборудования.</t>
    </r>
  </si>
  <si>
    <r>
      <t>12.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Элемент вычислительной машины осуществляющий определенные преобразования сигнала.</t>
    </r>
  </si>
  <si>
    <r>
      <t>13.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Набор правил и методов, описывающих функциональность, организацию и реализацию комп систем.</t>
    </r>
  </si>
  <si>
    <r>
      <t>14.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Цифровая схема, которая выполняет сложение чисел.</t>
    </r>
  </si>
  <si>
    <r>
      <t>15.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Форма компьютерной памяти, которая может быть прочитана и изменена в любом порядка, обычно используемая для хранения рабочих данных и машинного кода.</t>
    </r>
  </si>
  <si>
    <t>Ответы</t>
  </si>
  <si>
    <t>Введено</t>
  </si>
  <si>
    <t>аудиоадаптер</t>
  </si>
  <si>
    <t>архитектура</t>
  </si>
  <si>
    <t>сумматор</t>
  </si>
  <si>
    <t>оперативная</t>
  </si>
  <si>
    <t>?</t>
  </si>
  <si>
    <t>системный</t>
  </si>
  <si>
    <r>
      <t>6.</t>
    </r>
    <r>
      <rPr>
        <sz val="7"/>
        <color theme="1"/>
        <rFont val="Times New Roman"/>
        <family val="1"/>
        <charset val="204"/>
      </rPr>
      <t xml:space="preserve">       </t>
    </r>
    <r>
      <rPr>
        <sz val="11"/>
        <color theme="1"/>
        <rFont val="Times New Roman"/>
        <family val="1"/>
        <charset val="204"/>
      </rPr>
      <t>Функциональный блок защищающий внутренние компоненты компьютера от внешнего воздействия механических повреждений и поддерживающие необходимый температурный режим внутри.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</si>
</sst>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b/>
      <i/>
      <u/>
      <sz val="10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b/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5" fillId="0" borderId="0" xfId="0" applyFont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3" fillId="3" borderId="7" xfId="0" applyFont="1" applyFill="1" applyBorder="1"/>
    <xf numFmtId="0" fontId="3" fillId="3" borderId="6" xfId="0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/>
    <xf numFmtId="0" fontId="3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3" fillId="3" borderId="8" xfId="0" applyFont="1" applyFill="1" applyBorder="1"/>
    <xf numFmtId="0" fontId="3" fillId="3" borderId="1" xfId="0" applyFont="1" applyFill="1" applyBorder="1"/>
    <xf numFmtId="0" fontId="3" fillId="3" borderId="9" xfId="0" applyFont="1" applyFill="1" applyBorder="1"/>
    <xf numFmtId="0" fontId="3" fillId="0" borderId="0" xfId="0" applyFont="1"/>
    <xf numFmtId="0" fontId="3" fillId="4" borderId="2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indent="4"/>
    </xf>
    <xf numFmtId="0" fontId="0" fillId="3" borderId="5" xfId="0" applyFont="1" applyFill="1" applyBorder="1"/>
    <xf numFmtId="0" fontId="0" fillId="3" borderId="0" xfId="0" applyFont="1" applyFill="1"/>
    <xf numFmtId="0" fontId="3" fillId="5" borderId="2" xfId="0" applyFont="1" applyFill="1" applyBorder="1" applyAlignment="1">
      <alignment vertical="center"/>
    </xf>
    <xf numFmtId="0" fontId="3" fillId="5" borderId="2" xfId="0" applyNumberFormat="1" applyFont="1" applyFill="1" applyBorder="1" applyAlignment="1">
      <alignment horizontal="center" vertical="center"/>
    </xf>
    <xf numFmtId="49" fontId="3" fillId="5" borderId="2" xfId="1" applyNumberFormat="1" applyFont="1" applyFill="1" applyBorder="1" applyAlignment="1">
      <alignment horizontal="center" vertical="center"/>
    </xf>
    <xf numFmtId="0" fontId="3" fillId="5" borderId="2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/>
    </xf>
    <xf numFmtId="0" fontId="0" fillId="5" borderId="2" xfId="0" applyFill="1" applyBorder="1"/>
    <xf numFmtId="0" fontId="0" fillId="4" borderId="2" xfId="0" applyFill="1" applyBorder="1" applyAlignment="1">
      <alignment horizontal="center"/>
    </xf>
    <xf numFmtId="0" fontId="0" fillId="6" borderId="0" xfId="0" applyFill="1" applyBorder="1"/>
    <xf numFmtId="0" fontId="0" fillId="6" borderId="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9" xfId="0" applyFill="1" applyBorder="1"/>
    <xf numFmtId="0" fontId="0" fillId="6" borderId="3" xfId="0" applyFill="1" applyBorder="1"/>
    <xf numFmtId="0" fontId="0" fillId="6" borderId="6" xfId="0" applyFill="1" applyBorder="1"/>
    <xf numFmtId="0" fontId="0" fillId="6" borderId="8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" xfId="0" applyFill="1" applyBorder="1"/>
    <xf numFmtId="0" fontId="0" fillId="7" borderId="9" xfId="0" applyFill="1" applyBorder="1"/>
    <xf numFmtId="0" fontId="3" fillId="0" borderId="0" xfId="0" applyFont="1" applyAlignment="1">
      <alignment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21</xdr:row>
          <xdr:rowOff>180975</xdr:rowOff>
        </xdr:from>
        <xdr:to>
          <xdr:col>25</xdr:col>
          <xdr:colOff>142875</xdr:colOff>
          <xdr:row>23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0"/>
  <sheetViews>
    <sheetView topLeftCell="B1" zoomScale="112" zoomScaleNormal="112" workbookViewId="0">
      <selection activeCell="I19" sqref="I19"/>
    </sheetView>
  </sheetViews>
  <sheetFormatPr defaultRowHeight="15" x14ac:dyDescent="0.25"/>
  <cols>
    <col min="4" max="4" width="11.5703125" customWidth="1"/>
    <col min="7" max="7" width="6" customWidth="1"/>
    <col min="9" max="9" width="14.28515625" customWidth="1"/>
  </cols>
  <sheetData>
    <row r="1" spans="1:19" x14ac:dyDescent="0.25">
      <c r="A1" s="65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34"/>
    </row>
    <row r="2" spans="1:19" x14ac:dyDescent="0.25">
      <c r="A2" s="68" t="s">
        <v>0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9"/>
    </row>
    <row r="3" spans="1:19" x14ac:dyDescent="0.25">
      <c r="A3" s="67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19"/>
    </row>
    <row r="4" spans="1:19" x14ac:dyDescent="0.25">
      <c r="A4" s="20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19"/>
    </row>
    <row r="5" spans="1:19" x14ac:dyDescent="0.25">
      <c r="A5" s="20"/>
      <c r="B5" s="21"/>
      <c r="C5" s="21"/>
      <c r="D5" s="21"/>
      <c r="E5" s="21"/>
      <c r="F5" s="21"/>
      <c r="G5" s="64" t="s">
        <v>3</v>
      </c>
      <c r="H5" s="64"/>
      <c r="I5" s="64"/>
      <c r="J5" s="64"/>
      <c r="K5" s="64"/>
      <c r="L5" s="22"/>
      <c r="M5" s="21"/>
      <c r="N5" s="21"/>
      <c r="O5" s="21"/>
      <c r="P5" s="21"/>
      <c r="Q5" s="21"/>
      <c r="R5" s="21"/>
      <c r="S5" s="19"/>
    </row>
    <row r="6" spans="1:19" x14ac:dyDescent="0.25">
      <c r="A6" s="20"/>
      <c r="B6" s="21"/>
      <c r="C6" s="21"/>
      <c r="D6" s="21"/>
      <c r="E6" s="21"/>
      <c r="F6" s="21"/>
      <c r="G6" s="64"/>
      <c r="H6" s="64"/>
      <c r="I6" s="64"/>
      <c r="J6" s="64"/>
      <c r="K6" s="64"/>
      <c r="L6" s="21"/>
      <c r="M6" s="21"/>
      <c r="N6" s="21"/>
      <c r="O6" s="21"/>
      <c r="P6" s="21"/>
      <c r="Q6" s="21"/>
      <c r="R6" s="21"/>
      <c r="S6" s="19"/>
    </row>
    <row r="7" spans="1:19" x14ac:dyDescent="0.25">
      <c r="A7" s="20"/>
      <c r="B7" s="21"/>
      <c r="C7" s="21"/>
      <c r="D7" s="21"/>
      <c r="E7" s="21"/>
      <c r="F7" s="21"/>
      <c r="G7" s="64"/>
      <c r="H7" s="64"/>
      <c r="I7" s="64"/>
      <c r="J7" s="64"/>
      <c r="K7" s="64"/>
      <c r="L7" s="21"/>
      <c r="M7" s="21"/>
      <c r="N7" s="21"/>
      <c r="O7" s="21"/>
      <c r="P7" s="21"/>
      <c r="Q7" s="21"/>
      <c r="R7" s="21"/>
      <c r="S7" s="19"/>
    </row>
    <row r="8" spans="1:19" x14ac:dyDescent="0.25">
      <c r="A8" s="20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19"/>
    </row>
    <row r="9" spans="1:19" x14ac:dyDescent="0.25">
      <c r="A9" s="20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19"/>
    </row>
    <row r="10" spans="1:19" x14ac:dyDescent="0.25">
      <c r="A10" s="20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19"/>
    </row>
    <row r="11" spans="1:19" x14ac:dyDescent="0.25">
      <c r="A11" s="20"/>
      <c r="B11" s="21"/>
      <c r="C11" s="21"/>
      <c r="D11" s="21"/>
      <c r="E11" s="21"/>
      <c r="F11" s="21"/>
      <c r="G11" s="21"/>
      <c r="H11" s="21"/>
      <c r="I11" s="21"/>
      <c r="J11" s="23"/>
      <c r="K11" s="63" t="s">
        <v>61</v>
      </c>
      <c r="L11" s="63"/>
      <c r="M11" s="63"/>
      <c r="N11" s="63"/>
      <c r="O11" s="63"/>
      <c r="P11" s="63"/>
      <c r="Q11" s="63"/>
      <c r="R11" s="63"/>
      <c r="S11" s="19"/>
    </row>
    <row r="12" spans="1:19" x14ac:dyDescent="0.25">
      <c r="A12" s="20"/>
      <c r="B12" s="21"/>
      <c r="C12" s="21"/>
      <c r="D12" s="21"/>
      <c r="E12" s="21"/>
      <c r="F12" s="21"/>
      <c r="G12" s="21"/>
      <c r="H12" s="21"/>
      <c r="I12" s="21"/>
      <c r="J12" s="23"/>
      <c r="K12" s="63" t="s">
        <v>62</v>
      </c>
      <c r="L12" s="63"/>
      <c r="M12" s="63"/>
      <c r="N12" s="63"/>
      <c r="O12" s="63"/>
      <c r="P12" s="63"/>
      <c r="Q12" s="63"/>
      <c r="R12" s="63"/>
      <c r="S12" s="19"/>
    </row>
    <row r="13" spans="1:19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3"/>
      <c r="K13" s="63" t="s">
        <v>4</v>
      </c>
      <c r="L13" s="63"/>
      <c r="M13" s="63"/>
      <c r="N13" s="63"/>
      <c r="O13" s="63"/>
      <c r="P13" s="63"/>
      <c r="Q13" s="63"/>
      <c r="R13" s="63"/>
      <c r="S13" s="19"/>
    </row>
    <row r="14" spans="1:19" x14ac:dyDescent="0.25">
      <c r="A14" s="20"/>
      <c r="B14" s="21"/>
      <c r="C14" s="21"/>
      <c r="D14" s="21"/>
      <c r="E14" s="21"/>
      <c r="F14" s="21"/>
      <c r="G14" s="21"/>
      <c r="H14" s="21"/>
      <c r="I14" s="21"/>
      <c r="J14" s="23"/>
      <c r="K14" s="23"/>
      <c r="L14" s="23"/>
      <c r="M14" s="23"/>
      <c r="N14" s="23"/>
      <c r="O14" s="23"/>
      <c r="P14" s="24"/>
      <c r="Q14" s="24"/>
      <c r="R14" s="21"/>
      <c r="S14" s="19"/>
    </row>
    <row r="15" spans="1:19" x14ac:dyDescent="0.25">
      <c r="A15" s="20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4"/>
      <c r="M15" s="24"/>
      <c r="N15" s="24"/>
      <c r="O15" s="24"/>
      <c r="P15" s="24"/>
      <c r="Q15" s="24"/>
      <c r="R15" s="21"/>
      <c r="S15" s="19"/>
    </row>
    <row r="16" spans="1:19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4"/>
      <c r="M16" s="24"/>
      <c r="N16" s="24"/>
      <c r="O16" s="24"/>
      <c r="P16" s="24"/>
      <c r="Q16" s="24"/>
      <c r="R16" s="21"/>
      <c r="S16" s="19"/>
    </row>
    <row r="17" spans="1:19" x14ac:dyDescent="0.25">
      <c r="A17" s="20"/>
      <c r="B17" s="21"/>
      <c r="C17" s="21"/>
      <c r="D17" s="21"/>
      <c r="E17" s="21"/>
      <c r="F17" s="21"/>
      <c r="G17" s="21"/>
      <c r="H17" s="35"/>
      <c r="I17" s="25" t="s">
        <v>1</v>
      </c>
      <c r="J17" s="25"/>
      <c r="K17" s="21"/>
      <c r="L17" s="21"/>
      <c r="M17" s="21"/>
      <c r="N17" s="21"/>
      <c r="O17" s="21"/>
      <c r="P17" s="21"/>
      <c r="Q17" s="21"/>
      <c r="R17" s="21"/>
      <c r="S17" s="19"/>
    </row>
    <row r="18" spans="1:19" x14ac:dyDescent="0.25">
      <c r="A18" s="20"/>
      <c r="B18" s="21"/>
      <c r="C18" s="21"/>
      <c r="D18" s="21"/>
      <c r="E18" s="21"/>
      <c r="F18" s="21"/>
      <c r="G18" s="21"/>
      <c r="H18" s="35"/>
      <c r="I18" s="26" t="s">
        <v>2</v>
      </c>
      <c r="J18" s="25"/>
      <c r="K18" s="21"/>
      <c r="L18" s="21"/>
      <c r="M18" s="21"/>
      <c r="N18" s="21"/>
      <c r="O18" s="21"/>
      <c r="P18" s="21"/>
      <c r="Q18" s="21"/>
      <c r="R18" s="21"/>
      <c r="S18" s="19"/>
    </row>
    <row r="19" spans="1:19" x14ac:dyDescent="0.25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19"/>
    </row>
    <row r="20" spans="1:19" x14ac:dyDescent="0.25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</sheetData>
  <mergeCells count="7">
    <mergeCell ref="K12:R12"/>
    <mergeCell ref="K13:R13"/>
    <mergeCell ref="G5:K7"/>
    <mergeCell ref="A1:R1"/>
    <mergeCell ref="A3:R3"/>
    <mergeCell ref="A2:S2"/>
    <mergeCell ref="K11:R11"/>
  </mergeCell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AG24"/>
  <sheetViews>
    <sheetView tabSelected="1" zoomScaleNormal="100" workbookViewId="0">
      <selection activeCell="L26" sqref="L26"/>
    </sheetView>
  </sheetViews>
  <sheetFormatPr defaultRowHeight="15" x14ac:dyDescent="0.25"/>
  <cols>
    <col min="2" max="2" width="3.5703125" bestFit="1" customWidth="1"/>
    <col min="3" max="3" width="2.5703125" bestFit="1" customWidth="1"/>
    <col min="4" max="4" width="3.5703125" bestFit="1" customWidth="1"/>
    <col min="5" max="5" width="2.5703125" bestFit="1" customWidth="1"/>
    <col min="6" max="6" width="2.42578125" bestFit="1" customWidth="1"/>
    <col min="7" max="7" width="3.5703125" bestFit="1" customWidth="1"/>
    <col min="8" max="8" width="2.7109375" bestFit="1" customWidth="1"/>
    <col min="9" max="9" width="3.5703125" bestFit="1" customWidth="1"/>
    <col min="10" max="10" width="2.5703125" bestFit="1" customWidth="1"/>
    <col min="11" max="11" width="2.85546875" bestFit="1" customWidth="1"/>
    <col min="12" max="13" width="2.5703125" bestFit="1" customWidth="1"/>
    <col min="14" max="14" width="3.5703125" bestFit="1" customWidth="1"/>
    <col min="15" max="15" width="2.42578125" bestFit="1" customWidth="1"/>
    <col min="16" max="16" width="3.5703125" bestFit="1" customWidth="1"/>
    <col min="17" max="17" width="2.42578125" bestFit="1" customWidth="1"/>
    <col min="18" max="18" width="3.5703125" bestFit="1" customWidth="1"/>
    <col min="19" max="19" width="2.42578125" bestFit="1" customWidth="1"/>
    <col min="20" max="21" width="3.5703125" bestFit="1" customWidth="1"/>
    <col min="22" max="22" width="2.7109375" bestFit="1" customWidth="1"/>
    <col min="23" max="25" width="2.5703125" bestFit="1" customWidth="1"/>
    <col min="26" max="26" width="2.42578125" bestFit="1" customWidth="1"/>
    <col min="27" max="27" width="2.5703125" bestFit="1" customWidth="1"/>
    <col min="28" max="31" width="2.42578125" bestFit="1" customWidth="1"/>
  </cols>
  <sheetData>
    <row r="2" spans="2:33" ht="15.75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16">
        <v>4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4"/>
    </row>
    <row r="3" spans="2:33" ht="15.75" x14ac:dyDescent="0.25">
      <c r="B3" s="5"/>
      <c r="C3" s="6"/>
      <c r="D3" s="6"/>
      <c r="E3" s="6"/>
      <c r="F3" s="6"/>
      <c r="G3" s="6"/>
      <c r="H3" s="6"/>
      <c r="I3" s="6"/>
      <c r="J3" s="17">
        <v>3</v>
      </c>
      <c r="K3" s="6"/>
      <c r="L3" s="6"/>
      <c r="M3" s="11" t="s">
        <v>5</v>
      </c>
      <c r="N3" s="6"/>
      <c r="O3" s="6"/>
      <c r="P3" s="16">
        <v>2</v>
      </c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/>
    </row>
    <row r="4" spans="2:33" ht="15.75" x14ac:dyDescent="0.25">
      <c r="B4" s="5"/>
      <c r="C4" s="6"/>
      <c r="D4" s="6"/>
      <c r="E4" s="6"/>
      <c r="F4" s="6"/>
      <c r="G4" s="6"/>
      <c r="H4" s="6"/>
      <c r="I4" s="16">
        <v>1</v>
      </c>
      <c r="J4" s="11" t="s">
        <v>13</v>
      </c>
      <c r="K4" s="11" t="s">
        <v>9</v>
      </c>
      <c r="L4" s="14" t="s">
        <v>14</v>
      </c>
      <c r="M4" s="11" t="s">
        <v>6</v>
      </c>
      <c r="N4" s="15" t="s">
        <v>11</v>
      </c>
      <c r="O4" s="14" t="s">
        <v>9</v>
      </c>
      <c r="P4" s="11" t="s">
        <v>12</v>
      </c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7"/>
      <c r="AG4" s="62"/>
    </row>
    <row r="5" spans="2:33" ht="15.75" x14ac:dyDescent="0.25">
      <c r="B5" s="5"/>
      <c r="C5" s="6"/>
      <c r="D5" s="6"/>
      <c r="E5" s="6"/>
      <c r="F5" s="6"/>
      <c r="G5" s="6"/>
      <c r="H5" s="6"/>
      <c r="I5" s="6"/>
      <c r="J5" s="12" t="s">
        <v>6</v>
      </c>
      <c r="K5" s="6"/>
      <c r="L5" s="6"/>
      <c r="M5" s="11" t="s">
        <v>7</v>
      </c>
      <c r="N5" s="6"/>
      <c r="O5" s="6"/>
      <c r="P5" s="11" t="s">
        <v>22</v>
      </c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7"/>
      <c r="AG5" s="62"/>
    </row>
    <row r="6" spans="2:33" ht="15.75" x14ac:dyDescent="0.25">
      <c r="B6" s="5"/>
      <c r="C6" s="6"/>
      <c r="D6" s="6"/>
      <c r="E6" s="6"/>
      <c r="F6" s="6"/>
      <c r="G6" s="6"/>
      <c r="H6" s="6"/>
      <c r="I6" s="6"/>
      <c r="J6" s="11" t="s">
        <v>8</v>
      </c>
      <c r="K6" s="6"/>
      <c r="L6" s="6"/>
      <c r="M6" s="11" t="s">
        <v>8</v>
      </c>
      <c r="N6" s="6"/>
      <c r="O6" s="6"/>
      <c r="P6" s="11" t="s">
        <v>23</v>
      </c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7"/>
      <c r="AG6" s="62"/>
    </row>
    <row r="7" spans="2:33" ht="15.75" x14ac:dyDescent="0.25">
      <c r="B7" s="5"/>
      <c r="C7" s="6"/>
      <c r="D7" s="6"/>
      <c r="E7" s="6"/>
      <c r="F7" s="6"/>
      <c r="G7" s="6"/>
      <c r="H7" s="6"/>
      <c r="I7" s="6"/>
      <c r="J7" s="13" t="s">
        <v>12</v>
      </c>
      <c r="K7" s="6"/>
      <c r="L7" s="6"/>
      <c r="M7" s="11" t="s">
        <v>9</v>
      </c>
      <c r="N7" s="6"/>
      <c r="O7" s="6"/>
      <c r="P7" s="11" t="s">
        <v>12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7"/>
      <c r="AG7" s="62"/>
    </row>
    <row r="8" spans="2:33" ht="15.75" x14ac:dyDescent="0.25">
      <c r="B8" s="5"/>
      <c r="C8" s="6"/>
      <c r="D8" s="6"/>
      <c r="E8" s="6"/>
      <c r="F8" s="6"/>
      <c r="G8" s="16">
        <v>5</v>
      </c>
      <c r="H8" s="11" t="s">
        <v>16</v>
      </c>
      <c r="I8" s="11" t="s">
        <v>6</v>
      </c>
      <c r="J8" s="11" t="s">
        <v>9</v>
      </c>
      <c r="K8" s="11" t="s">
        <v>7</v>
      </c>
      <c r="L8" s="6"/>
      <c r="M8" s="11" t="s">
        <v>10</v>
      </c>
      <c r="N8" s="6"/>
      <c r="O8" s="6"/>
      <c r="P8" s="11" t="s">
        <v>24</v>
      </c>
      <c r="Q8" s="6"/>
      <c r="R8" s="6"/>
      <c r="S8" s="6"/>
      <c r="T8" s="6"/>
      <c r="U8" s="16">
        <v>11</v>
      </c>
      <c r="V8" s="6"/>
      <c r="W8" s="6"/>
      <c r="X8" s="6"/>
      <c r="Y8" s="6"/>
      <c r="Z8" s="6"/>
      <c r="AA8" s="6"/>
      <c r="AB8" s="6"/>
      <c r="AC8" s="6"/>
      <c r="AD8" s="6"/>
      <c r="AE8" s="7"/>
      <c r="AG8" s="62"/>
    </row>
    <row r="9" spans="2:33" ht="15.75" x14ac:dyDescent="0.25">
      <c r="B9" s="5"/>
      <c r="C9" s="6"/>
      <c r="D9" s="6"/>
      <c r="E9" s="16">
        <v>7</v>
      </c>
      <c r="F9" s="6"/>
      <c r="G9" s="6"/>
      <c r="H9" s="6"/>
      <c r="I9" s="6"/>
      <c r="J9" s="12" t="s">
        <v>15</v>
      </c>
      <c r="K9" s="6"/>
      <c r="L9" s="6"/>
      <c r="M9" s="11" t="s">
        <v>9</v>
      </c>
      <c r="N9" s="6"/>
      <c r="O9" s="6"/>
      <c r="P9" s="11" t="s">
        <v>5</v>
      </c>
      <c r="Q9" s="6"/>
      <c r="R9" s="6"/>
      <c r="S9" s="6"/>
      <c r="T9" s="16">
        <v>13</v>
      </c>
      <c r="U9" s="11" t="s">
        <v>22</v>
      </c>
      <c r="V9" s="11" t="s">
        <v>12</v>
      </c>
      <c r="W9" s="11" t="s">
        <v>29</v>
      </c>
      <c r="X9" s="11" t="s">
        <v>6</v>
      </c>
      <c r="Y9" s="11" t="s">
        <v>11</v>
      </c>
      <c r="Z9" s="11" t="s">
        <v>19</v>
      </c>
      <c r="AA9" s="11" t="s">
        <v>8</v>
      </c>
      <c r="AB9" s="11" t="s">
        <v>11</v>
      </c>
      <c r="AC9" s="11" t="s">
        <v>21</v>
      </c>
      <c r="AD9" s="11" t="s">
        <v>12</v>
      </c>
      <c r="AE9" s="11" t="s">
        <v>22</v>
      </c>
      <c r="AG9" s="62"/>
    </row>
    <row r="10" spans="2:33" ht="15.75" x14ac:dyDescent="0.25">
      <c r="B10" s="5"/>
      <c r="C10" s="6"/>
      <c r="D10" s="6"/>
      <c r="E10" s="13" t="s">
        <v>10</v>
      </c>
      <c r="F10" s="6"/>
      <c r="G10" s="6"/>
      <c r="H10" s="6"/>
      <c r="I10" s="6"/>
      <c r="J10" s="11" t="s">
        <v>9</v>
      </c>
      <c r="K10" s="6"/>
      <c r="L10" s="6"/>
      <c r="M10" s="11" t="s">
        <v>5</v>
      </c>
      <c r="N10" s="6"/>
      <c r="O10" s="6"/>
      <c r="P10" s="11" t="s">
        <v>14</v>
      </c>
      <c r="Q10" s="6"/>
      <c r="R10" s="6"/>
      <c r="S10" s="6"/>
      <c r="T10" s="6"/>
      <c r="U10" s="11" t="s">
        <v>21</v>
      </c>
      <c r="V10" s="6"/>
      <c r="W10" s="6"/>
      <c r="X10" s="6"/>
      <c r="Y10" s="6"/>
      <c r="Z10" s="6"/>
      <c r="AA10" s="6"/>
      <c r="AB10" s="6"/>
      <c r="AC10" s="6"/>
      <c r="AD10" s="6"/>
      <c r="AE10" s="7"/>
      <c r="AG10" s="62"/>
    </row>
    <row r="11" spans="2:33" ht="15.75" x14ac:dyDescent="0.25">
      <c r="B11" s="5"/>
      <c r="C11" s="16">
        <v>6</v>
      </c>
      <c r="D11" s="11" t="s">
        <v>7</v>
      </c>
      <c r="E11" s="11" t="s">
        <v>6</v>
      </c>
      <c r="F11" s="11" t="s">
        <v>7</v>
      </c>
      <c r="G11" s="11" t="s">
        <v>11</v>
      </c>
      <c r="H11" s="11" t="s">
        <v>19</v>
      </c>
      <c r="I11" s="11" t="s">
        <v>13</v>
      </c>
      <c r="J11" s="11" t="s">
        <v>14</v>
      </c>
      <c r="K11" s="11" t="s">
        <v>17</v>
      </c>
      <c r="L11" s="11" t="s">
        <v>18</v>
      </c>
      <c r="M11" s="6"/>
      <c r="N11" s="6"/>
      <c r="O11" s="6"/>
      <c r="P11" s="11" t="s">
        <v>9</v>
      </c>
      <c r="Q11" s="6"/>
      <c r="R11" s="16">
        <v>9</v>
      </c>
      <c r="S11" s="6"/>
      <c r="T11" s="6"/>
      <c r="U11" s="11" t="s">
        <v>5</v>
      </c>
      <c r="V11" s="6"/>
      <c r="W11" s="6"/>
      <c r="X11" s="6"/>
      <c r="Y11" s="6"/>
      <c r="Z11" s="6"/>
      <c r="AA11" s="6"/>
      <c r="AB11" s="6"/>
      <c r="AC11" s="6"/>
      <c r="AD11" s="6"/>
      <c r="AE11" s="7"/>
      <c r="AG11" s="62"/>
    </row>
    <row r="12" spans="2:33" ht="15.75" x14ac:dyDescent="0.25">
      <c r="B12" s="5"/>
      <c r="C12" s="6"/>
      <c r="D12" s="6"/>
      <c r="E12" s="12" t="s">
        <v>14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13" t="s">
        <v>7</v>
      </c>
      <c r="Q12" s="6"/>
      <c r="R12" s="11" t="s">
        <v>26</v>
      </c>
      <c r="S12" s="6"/>
      <c r="T12" s="16">
        <v>12</v>
      </c>
      <c r="U12" s="11" t="s">
        <v>6</v>
      </c>
      <c r="V12" s="11" t="s">
        <v>14</v>
      </c>
      <c r="W12" s="11" t="s">
        <v>10</v>
      </c>
      <c r="X12" s="11" t="s">
        <v>19</v>
      </c>
      <c r="Y12" s="11" t="s">
        <v>12</v>
      </c>
      <c r="Z12" s="11" t="s">
        <v>11</v>
      </c>
      <c r="AA12" s="11" t="s">
        <v>9</v>
      </c>
      <c r="AB12" s="11" t="s">
        <v>12</v>
      </c>
      <c r="AC12" s="6"/>
      <c r="AD12" s="6"/>
      <c r="AE12" s="7"/>
      <c r="AG12" s="62"/>
    </row>
    <row r="13" spans="2:33" ht="15.75" x14ac:dyDescent="0.25">
      <c r="B13" s="5"/>
      <c r="C13" s="6"/>
      <c r="D13" s="6"/>
      <c r="E13" s="11" t="s">
        <v>20</v>
      </c>
      <c r="F13" s="6"/>
      <c r="G13" s="6"/>
      <c r="H13" s="6"/>
      <c r="I13" s="16">
        <v>8</v>
      </c>
      <c r="J13" s="11" t="s">
        <v>8</v>
      </c>
      <c r="K13" s="11" t="s">
        <v>28</v>
      </c>
      <c r="L13" s="11" t="s">
        <v>22</v>
      </c>
      <c r="M13" s="11" t="s">
        <v>10</v>
      </c>
      <c r="N13" s="11" t="s">
        <v>6</v>
      </c>
      <c r="O13" s="11" t="s">
        <v>22</v>
      </c>
      <c r="P13" s="11" t="s">
        <v>11</v>
      </c>
      <c r="Q13" s="14" t="s">
        <v>21</v>
      </c>
      <c r="R13" s="11" t="s">
        <v>12</v>
      </c>
      <c r="S13" s="15" t="s">
        <v>22</v>
      </c>
      <c r="T13" s="6"/>
      <c r="U13" s="11" t="s">
        <v>9</v>
      </c>
      <c r="V13" s="6"/>
      <c r="W13" s="6"/>
      <c r="X13" s="6"/>
      <c r="Y13" s="6"/>
      <c r="Z13" s="6"/>
      <c r="AA13" s="6"/>
      <c r="AB13" s="6"/>
      <c r="AC13" s="6"/>
      <c r="AD13" s="6"/>
      <c r="AE13" s="7"/>
      <c r="AG13" s="62"/>
    </row>
    <row r="14" spans="2:33" ht="15.75" x14ac:dyDescent="0.25">
      <c r="B14" s="5"/>
      <c r="C14" s="6"/>
      <c r="D14" s="6"/>
      <c r="E14" s="13" t="s">
        <v>19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12" t="s">
        <v>25</v>
      </c>
      <c r="Q14" s="6"/>
      <c r="R14" s="11" t="s">
        <v>9</v>
      </c>
      <c r="S14" s="6"/>
      <c r="T14" s="6"/>
      <c r="U14" s="11" t="s">
        <v>22</v>
      </c>
      <c r="V14" s="6"/>
      <c r="W14" s="6"/>
      <c r="X14" s="6"/>
      <c r="Y14" s="6"/>
      <c r="Z14" s="6"/>
      <c r="AA14" s="6"/>
      <c r="AB14" s="6"/>
      <c r="AC14" s="6"/>
      <c r="AD14" s="6"/>
      <c r="AE14" s="7"/>
      <c r="AG14" s="62"/>
    </row>
    <row r="15" spans="2:33" ht="15.75" x14ac:dyDescent="0.25">
      <c r="B15" s="5"/>
      <c r="C15" s="6"/>
      <c r="D15" s="16">
        <v>14</v>
      </c>
      <c r="E15" s="11" t="s">
        <v>7</v>
      </c>
      <c r="F15" s="11" t="s">
        <v>21</v>
      </c>
      <c r="G15" s="11" t="s">
        <v>13</v>
      </c>
      <c r="H15" s="11" t="s">
        <v>13</v>
      </c>
      <c r="I15" s="11" t="s">
        <v>22</v>
      </c>
      <c r="J15" s="11" t="s">
        <v>11</v>
      </c>
      <c r="K15" s="11" t="s">
        <v>9</v>
      </c>
      <c r="L15" s="11" t="s">
        <v>12</v>
      </c>
      <c r="M15" s="6"/>
      <c r="N15" s="6"/>
      <c r="O15" s="6"/>
      <c r="P15" s="6"/>
      <c r="Q15" s="6"/>
      <c r="R15" s="11" t="s">
        <v>27</v>
      </c>
      <c r="S15" s="6"/>
      <c r="T15" s="6"/>
      <c r="U15" s="11" t="s">
        <v>5</v>
      </c>
      <c r="V15" s="6"/>
      <c r="W15" s="6"/>
      <c r="X15" s="6"/>
      <c r="Y15" s="6"/>
      <c r="Z15" s="6"/>
      <c r="AA15" s="6"/>
      <c r="AB15" s="6"/>
      <c r="AC15" s="6"/>
      <c r="AD15" s="6"/>
      <c r="AE15" s="7"/>
      <c r="AG15" s="62"/>
    </row>
    <row r="16" spans="2:33" ht="15.75" x14ac:dyDescent="0.25">
      <c r="B16" s="5"/>
      <c r="C16" s="6"/>
      <c r="D16" s="6"/>
      <c r="E16" s="12" t="s">
        <v>11</v>
      </c>
      <c r="F16" s="6"/>
      <c r="G16" s="6"/>
      <c r="H16" s="6"/>
      <c r="I16" s="6"/>
      <c r="J16" s="6"/>
      <c r="K16" s="6"/>
      <c r="L16" s="6"/>
      <c r="M16" s="6"/>
      <c r="N16" s="16">
        <v>10</v>
      </c>
      <c r="O16" s="11" t="s">
        <v>10</v>
      </c>
      <c r="P16" s="11" t="s">
        <v>6</v>
      </c>
      <c r="Q16" s="11" t="s">
        <v>5</v>
      </c>
      <c r="R16" s="11" t="s">
        <v>19</v>
      </c>
      <c r="S16" s="11" t="s">
        <v>9</v>
      </c>
      <c r="T16" s="11" t="s">
        <v>26</v>
      </c>
      <c r="U16" s="11" t="s">
        <v>22</v>
      </c>
      <c r="V16" s="11" t="s">
        <v>13</v>
      </c>
      <c r="W16" s="11" t="s">
        <v>24</v>
      </c>
      <c r="X16" s="11" t="s">
        <v>11</v>
      </c>
      <c r="Y16" s="11" t="s">
        <v>25</v>
      </c>
      <c r="Z16" s="6"/>
      <c r="AA16" s="6"/>
      <c r="AB16" s="6"/>
      <c r="AC16" s="6"/>
      <c r="AD16" s="6"/>
      <c r="AE16" s="7"/>
      <c r="AG16" s="62"/>
    </row>
    <row r="17" spans="2:33" ht="15.75" x14ac:dyDescent="0.25">
      <c r="B17" s="16">
        <v>15</v>
      </c>
      <c r="C17" s="11" t="s">
        <v>9</v>
      </c>
      <c r="D17" s="14" t="s">
        <v>26</v>
      </c>
      <c r="E17" s="11" t="s">
        <v>19</v>
      </c>
      <c r="F17" s="15" t="s">
        <v>12</v>
      </c>
      <c r="G17" s="11" t="s">
        <v>22</v>
      </c>
      <c r="H17" s="11" t="s">
        <v>11</v>
      </c>
      <c r="I17" s="11" t="s">
        <v>6</v>
      </c>
      <c r="J17" s="11" t="s">
        <v>10</v>
      </c>
      <c r="K17" s="11" t="s">
        <v>14</v>
      </c>
      <c r="L17" s="11" t="s">
        <v>22</v>
      </c>
      <c r="M17" s="11" t="s">
        <v>24</v>
      </c>
      <c r="N17" s="6"/>
      <c r="O17" s="6"/>
      <c r="P17" s="6"/>
      <c r="Q17" s="6"/>
      <c r="R17" s="11" t="s">
        <v>7</v>
      </c>
      <c r="S17" s="6"/>
      <c r="T17" s="6"/>
      <c r="U17" s="11" t="s">
        <v>26</v>
      </c>
      <c r="V17" s="6"/>
      <c r="W17" s="6"/>
      <c r="X17" s="6"/>
      <c r="Y17" s="6"/>
      <c r="Z17" s="6"/>
      <c r="AA17" s="6"/>
      <c r="AB17" s="6"/>
      <c r="AC17" s="6"/>
      <c r="AD17" s="6"/>
      <c r="AE17" s="7"/>
      <c r="AG17" s="62"/>
    </row>
    <row r="18" spans="2:33" ht="15.75" x14ac:dyDescent="0.25">
      <c r="B18" s="5"/>
      <c r="C18" s="6"/>
      <c r="D18" s="6"/>
      <c r="E18" s="11" t="s">
        <v>12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11" t="s">
        <v>7</v>
      </c>
      <c r="S18" s="6"/>
      <c r="T18" s="6"/>
      <c r="U18" s="11" t="s">
        <v>11</v>
      </c>
      <c r="V18" s="6"/>
      <c r="W18" s="6"/>
      <c r="X18" s="6"/>
      <c r="Y18" s="6"/>
      <c r="Z18" s="6"/>
      <c r="AA18" s="6"/>
      <c r="AB18" s="6"/>
      <c r="AC18" s="6"/>
      <c r="AD18" s="6"/>
      <c r="AE18" s="7"/>
      <c r="AG18" s="62"/>
    </row>
    <row r="19" spans="2:33" ht="15.75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11" t="s">
        <v>9</v>
      </c>
      <c r="S19" s="6"/>
      <c r="T19" s="6"/>
      <c r="U19" s="11" t="s">
        <v>19</v>
      </c>
      <c r="V19" s="6"/>
      <c r="W19" s="6"/>
      <c r="X19" s="6"/>
      <c r="Y19" s="6"/>
      <c r="Z19" s="6"/>
      <c r="AA19" s="6"/>
      <c r="AB19" s="6"/>
      <c r="AC19" s="6"/>
      <c r="AD19" s="6"/>
      <c r="AE19" s="7"/>
    </row>
    <row r="20" spans="2:33" ht="15.75" x14ac:dyDescent="0.25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11" t="s">
        <v>12</v>
      </c>
      <c r="S20" s="9"/>
      <c r="T20" s="9"/>
      <c r="U20" s="11" t="s">
        <v>12</v>
      </c>
      <c r="V20" s="9"/>
      <c r="W20" s="9"/>
      <c r="X20" s="9"/>
      <c r="Y20" s="9"/>
      <c r="Z20" s="9"/>
      <c r="AA20" s="9"/>
      <c r="AB20" s="9"/>
      <c r="AC20" s="9"/>
      <c r="AD20" s="9"/>
      <c r="AE20" s="10"/>
    </row>
    <row r="22" spans="2:33" x14ac:dyDescent="0.25">
      <c r="B22" s="53"/>
      <c r="C22" s="54"/>
      <c r="D22" s="54"/>
      <c r="E22" s="54"/>
      <c r="F22" s="54"/>
      <c r="G22" s="54"/>
      <c r="H22" s="54"/>
      <c r="I22" s="55"/>
      <c r="T22" s="50"/>
      <c r="U22" s="46"/>
      <c r="V22" s="46"/>
      <c r="W22" s="46"/>
      <c r="X22" s="46"/>
      <c r="Y22" s="46"/>
      <c r="Z22" s="46"/>
      <c r="AA22" s="47"/>
    </row>
    <row r="23" spans="2:33" x14ac:dyDescent="0.25">
      <c r="B23" s="56"/>
      <c r="C23" s="57"/>
      <c r="D23" s="57"/>
      <c r="E23" s="57"/>
      <c r="F23" s="57"/>
      <c r="G23" s="57"/>
      <c r="H23" s="57"/>
      <c r="I23" s="58"/>
      <c r="T23" s="51"/>
      <c r="U23" s="44"/>
      <c r="V23" s="44"/>
      <c r="W23" s="44"/>
      <c r="X23" s="44"/>
      <c r="Y23" s="44"/>
      <c r="Z23" s="44"/>
      <c r="AA23" s="48"/>
    </row>
    <row r="24" spans="2:33" x14ac:dyDescent="0.25">
      <c r="B24" s="59"/>
      <c r="C24" s="60"/>
      <c r="D24" s="60"/>
      <c r="E24" s="60"/>
      <c r="F24" s="60"/>
      <c r="G24" s="60"/>
      <c r="H24" s="60"/>
      <c r="I24" s="61"/>
      <c r="T24" s="52"/>
      <c r="U24" s="45"/>
      <c r="V24" s="45"/>
      <c r="W24" s="45"/>
      <c r="X24" s="45"/>
      <c r="Y24" s="45"/>
      <c r="Z24" s="45"/>
      <c r="AA24" s="49"/>
    </row>
  </sheetData>
  <protectedRanges>
    <protectedRange sqref="C17:M17" name="Диапазон15"/>
    <protectedRange sqref="E15:L15" name="Диапазон14"/>
    <protectedRange sqref="U9:AE9" name="Диапазон13"/>
    <protectedRange sqref="U12:AB12" name="Диапазон12"/>
    <protectedRange sqref="U9:U20" name="Диапазон11"/>
    <protectedRange sqref="O16:Y16" name="Диапазон10"/>
    <protectedRange sqref="R12:R20" name="Диапазон9"/>
    <protectedRange sqref="J13:S13" name="Диапазон8"/>
    <protectedRange sqref="E10:E18" name="Диапазон7"/>
    <protectedRange sqref="D11:L11" name="Диапазон6"/>
    <protectedRange sqref="H8:K8" name="Диапазон5"/>
    <protectedRange sqref="M3:M10" name="Диапазон4"/>
    <protectedRange sqref="J4:J11" name="Диапазон3"/>
    <protectedRange sqref="P4:P14" name="Диапазон2"/>
    <protectedRange sqref="J4:P4" name="Диапазон1"/>
  </protectedRanges>
  <dataValidations count="1">
    <dataValidation type="textLength" allowBlank="1" showInputMessage="1" showErrorMessage="1" sqref="P6 M3:M10 P4:P14 J13:S13 R12:R20 O16:Y16 U9:U20 U9:AE9 V12:AB12 C17:M17 E10:E18 D11:L11 F15:L15 J4:J10 H8:K8 K4:P4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Проверка">
                <anchor moveWithCells="1" sizeWithCells="1">
                  <from>
                    <xdr:col>19</xdr:col>
                    <xdr:colOff>180975</xdr:colOff>
                    <xdr:row>21</xdr:row>
                    <xdr:rowOff>180975</xdr:rowOff>
                  </from>
                  <to>
                    <xdr:col>25</xdr:col>
                    <xdr:colOff>142875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Сброс">
                <anchor moveWithCells="1" siz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18"/>
  <sheetViews>
    <sheetView zoomScaleNormal="100" workbookViewId="0">
      <selection sqref="A1:A15"/>
    </sheetView>
  </sheetViews>
  <sheetFormatPr defaultRowHeight="15" x14ac:dyDescent="0.25"/>
  <sheetData>
    <row r="1" spans="1:5" x14ac:dyDescent="0.25">
      <c r="A1" s="33" t="s">
        <v>64</v>
      </c>
      <c r="B1" s="30"/>
      <c r="C1" s="30"/>
      <c r="D1" s="30"/>
      <c r="E1" s="30"/>
    </row>
    <row r="2" spans="1:5" x14ac:dyDescent="0.25">
      <c r="A2" s="33" t="s">
        <v>65</v>
      </c>
      <c r="B2" s="30"/>
      <c r="C2" s="30"/>
      <c r="D2" s="30"/>
      <c r="E2" s="30"/>
    </row>
    <row r="3" spans="1:5" x14ac:dyDescent="0.25">
      <c r="A3" s="33" t="s">
        <v>66</v>
      </c>
      <c r="B3" s="30"/>
      <c r="C3" s="30"/>
      <c r="D3" s="30"/>
      <c r="E3" s="30"/>
    </row>
    <row r="4" spans="1:5" x14ac:dyDescent="0.25">
      <c r="A4" s="33" t="s">
        <v>67</v>
      </c>
      <c r="B4" s="30"/>
      <c r="C4" s="30"/>
      <c r="D4" s="30"/>
      <c r="E4" s="30"/>
    </row>
    <row r="5" spans="1:5" x14ac:dyDescent="0.25">
      <c r="A5" s="33" t="s">
        <v>68</v>
      </c>
      <c r="B5" s="30"/>
      <c r="C5" s="30"/>
      <c r="D5" s="30"/>
      <c r="E5" s="30"/>
    </row>
    <row r="6" spans="1:5" x14ac:dyDescent="0.25">
      <c r="A6" s="33" t="s">
        <v>86</v>
      </c>
      <c r="B6" s="30"/>
      <c r="C6" s="30"/>
      <c r="D6" s="30"/>
      <c r="E6" s="30"/>
    </row>
    <row r="7" spans="1:5" x14ac:dyDescent="0.25">
      <c r="A7" s="33" t="s">
        <v>69</v>
      </c>
      <c r="B7" s="30"/>
      <c r="C7" s="30"/>
      <c r="D7" s="30"/>
      <c r="E7" s="30"/>
    </row>
    <row r="8" spans="1:5" x14ac:dyDescent="0.25">
      <c r="A8" s="33" t="s">
        <v>70</v>
      </c>
      <c r="B8" s="30"/>
      <c r="C8" s="30"/>
      <c r="D8" s="30"/>
      <c r="E8" s="30"/>
    </row>
    <row r="9" spans="1:5" x14ac:dyDescent="0.25">
      <c r="A9" s="33" t="s">
        <v>71</v>
      </c>
      <c r="B9" s="30"/>
      <c r="C9" s="30"/>
      <c r="D9" s="30"/>
      <c r="E9" s="30"/>
    </row>
    <row r="10" spans="1:5" x14ac:dyDescent="0.25">
      <c r="A10" s="33" t="s">
        <v>72</v>
      </c>
      <c r="B10" s="30"/>
      <c r="C10" s="30"/>
      <c r="D10" s="30"/>
      <c r="E10" s="30"/>
    </row>
    <row r="11" spans="1:5" x14ac:dyDescent="0.25">
      <c r="A11" s="33" t="s">
        <v>73</v>
      </c>
      <c r="B11" s="30"/>
      <c r="C11" s="30"/>
      <c r="D11" s="30"/>
      <c r="E11" s="30"/>
    </row>
    <row r="12" spans="1:5" x14ac:dyDescent="0.25">
      <c r="A12" s="33" t="s">
        <v>74</v>
      </c>
      <c r="B12" s="30"/>
      <c r="C12" s="30"/>
      <c r="D12" s="30"/>
      <c r="E12" s="30"/>
    </row>
    <row r="13" spans="1:5" x14ac:dyDescent="0.25">
      <c r="A13" s="33" t="s">
        <v>75</v>
      </c>
      <c r="B13" s="30"/>
      <c r="C13" s="30"/>
      <c r="D13" s="30"/>
      <c r="E13" s="30"/>
    </row>
    <row r="14" spans="1:5" x14ac:dyDescent="0.25">
      <c r="A14" s="33" t="s">
        <v>76</v>
      </c>
      <c r="B14" s="30"/>
      <c r="C14" s="30"/>
      <c r="D14" s="30"/>
      <c r="E14" s="30"/>
    </row>
    <row r="15" spans="1:5" x14ac:dyDescent="0.25">
      <c r="A15" s="33" t="s">
        <v>77</v>
      </c>
      <c r="B15" s="30"/>
      <c r="C15" s="30"/>
      <c r="D15" s="30"/>
      <c r="E15" s="30"/>
    </row>
    <row r="16" spans="1:5" x14ac:dyDescent="0.25">
      <c r="A16" s="30"/>
      <c r="B16" s="30"/>
      <c r="C16" s="30"/>
      <c r="D16" s="30"/>
      <c r="E16" s="30"/>
    </row>
    <row r="17" spans="1:5" x14ac:dyDescent="0.25">
      <c r="A17" s="30"/>
      <c r="B17" s="30"/>
      <c r="C17" s="30"/>
      <c r="D17" s="30"/>
      <c r="E17" s="30"/>
    </row>
    <row r="18" spans="1:5" x14ac:dyDescent="0.25">
      <c r="A18" s="30"/>
      <c r="B18" s="30"/>
      <c r="C18" s="30"/>
      <c r="D18" s="30"/>
      <c r="E18" s="3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BD32"/>
  <sheetViews>
    <sheetView topLeftCell="A4" zoomScale="98" zoomScaleNormal="98" workbookViewId="0">
      <selection activeCell="AF29" sqref="AF29"/>
    </sheetView>
  </sheetViews>
  <sheetFormatPr defaultRowHeight="15" x14ac:dyDescent="0.25"/>
  <cols>
    <col min="2" max="2" width="5" bestFit="1" customWidth="1"/>
    <col min="3" max="5" width="3.5703125" bestFit="1" customWidth="1"/>
    <col min="6" max="6" width="2.42578125" bestFit="1" customWidth="1"/>
    <col min="7" max="7" width="3.5703125" bestFit="1" customWidth="1"/>
    <col min="8" max="8" width="2.7109375" bestFit="1" customWidth="1"/>
    <col min="9" max="10" width="3.5703125" bestFit="1" customWidth="1"/>
    <col min="11" max="11" width="2.85546875" bestFit="1" customWidth="1"/>
    <col min="12" max="12" width="2.5703125" bestFit="1" customWidth="1"/>
    <col min="13" max="14" width="3.5703125" bestFit="1" customWidth="1"/>
    <col min="15" max="15" width="2.42578125" bestFit="1" customWidth="1"/>
    <col min="16" max="16" width="3.5703125" bestFit="1" customWidth="1"/>
    <col min="17" max="17" width="2.42578125" bestFit="1" customWidth="1"/>
    <col min="18" max="18" width="3.5703125" bestFit="1" customWidth="1"/>
    <col min="19" max="19" width="2.42578125" bestFit="1" customWidth="1"/>
    <col min="20" max="20" width="5" bestFit="1" customWidth="1"/>
    <col min="21" max="21" width="3.5703125" bestFit="1" customWidth="1"/>
    <col min="22" max="22" width="2.7109375" bestFit="1" customWidth="1"/>
    <col min="23" max="25" width="2.5703125" bestFit="1" customWidth="1"/>
    <col min="26" max="26" width="2.42578125" bestFit="1" customWidth="1"/>
    <col min="27" max="27" width="2.5703125" bestFit="1" customWidth="1"/>
    <col min="28" max="31" width="2.42578125" bestFit="1" customWidth="1"/>
    <col min="33" max="33" width="10.5703125" bestFit="1" customWidth="1"/>
    <col min="37" max="37" width="20.28515625" bestFit="1" customWidth="1"/>
    <col min="38" max="38" width="21.42578125" customWidth="1"/>
  </cols>
  <sheetData>
    <row r="2" spans="1:56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</row>
    <row r="3" spans="1:56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</row>
    <row r="4" spans="1:56" ht="15.75" x14ac:dyDescent="0.25">
      <c r="A4" s="30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30"/>
      <c r="AG4" s="30"/>
      <c r="AH4" s="30"/>
      <c r="AI4" s="30"/>
    </row>
    <row r="5" spans="1:56" ht="15.75" x14ac:dyDescent="0.25">
      <c r="A5" s="30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30"/>
      <c r="AG5" s="30"/>
      <c r="AH5" s="30"/>
      <c r="AI5" s="30"/>
    </row>
    <row r="6" spans="1:56" ht="15.75" x14ac:dyDescent="0.25">
      <c r="A6" s="30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30"/>
      <c r="AG6" s="30"/>
      <c r="AH6" s="30"/>
      <c r="AI6" s="30"/>
    </row>
    <row r="7" spans="1:56" ht="15.75" x14ac:dyDescent="0.25">
      <c r="A7" s="30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  <c r="AF7" s="30"/>
      <c r="AG7" s="30"/>
      <c r="AH7" s="30"/>
      <c r="AI7" s="30"/>
      <c r="AJ7" s="30"/>
      <c r="AK7" s="30"/>
      <c r="AL7" s="30"/>
      <c r="AM7" s="30"/>
    </row>
    <row r="8" spans="1:56" ht="15.75" x14ac:dyDescent="0.25">
      <c r="A8" s="30"/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16">
        <v>4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7"/>
      <c r="AF8" s="30"/>
      <c r="AG8" s="30"/>
      <c r="AH8" s="30"/>
      <c r="AI8" s="30"/>
      <c r="AJ8" s="30"/>
      <c r="AK8" s="30"/>
      <c r="AL8" s="30"/>
      <c r="AM8" s="30"/>
    </row>
    <row r="9" spans="1:56" ht="15.75" x14ac:dyDescent="0.25">
      <c r="A9" s="30"/>
      <c r="B9" s="5"/>
      <c r="C9" s="6"/>
      <c r="D9" s="6"/>
      <c r="E9" s="6"/>
      <c r="F9" s="6"/>
      <c r="G9" s="6"/>
      <c r="H9" s="6"/>
      <c r="I9" s="6"/>
      <c r="J9" s="17">
        <v>3</v>
      </c>
      <c r="K9" s="6"/>
      <c r="L9" s="6"/>
      <c r="M9" s="11" t="s">
        <v>5</v>
      </c>
      <c r="N9" s="6"/>
      <c r="O9" s="6"/>
      <c r="P9" s="16">
        <v>2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7"/>
      <c r="AF9" s="30"/>
      <c r="AG9" s="71" t="s">
        <v>63</v>
      </c>
      <c r="AH9" s="71"/>
      <c r="AI9" s="30"/>
      <c r="AJ9" s="30"/>
      <c r="AK9" s="30"/>
      <c r="AL9" s="30"/>
      <c r="AM9" s="30"/>
    </row>
    <row r="10" spans="1:56" ht="15.75" x14ac:dyDescent="0.25">
      <c r="A10" s="30"/>
      <c r="B10" s="5"/>
      <c r="C10" s="6"/>
      <c r="D10" s="6"/>
      <c r="E10" s="6"/>
      <c r="F10" s="6"/>
      <c r="G10" s="6"/>
      <c r="H10" s="6"/>
      <c r="I10" s="16">
        <v>1</v>
      </c>
      <c r="J10" s="11" t="s">
        <v>13</v>
      </c>
      <c r="K10" s="11" t="s">
        <v>9</v>
      </c>
      <c r="L10" s="14" t="s">
        <v>14</v>
      </c>
      <c r="M10" s="11" t="s">
        <v>6</v>
      </c>
      <c r="N10" s="15" t="s">
        <v>11</v>
      </c>
      <c r="O10" s="14" t="s">
        <v>9</v>
      </c>
      <c r="P10" s="11" t="s">
        <v>12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7"/>
      <c r="AF10" s="30"/>
      <c r="AG10" s="31" t="s">
        <v>30</v>
      </c>
      <c r="AH10" s="31" t="s">
        <v>31</v>
      </c>
      <c r="AI10" s="30"/>
      <c r="AJ10" s="70" t="s">
        <v>78</v>
      </c>
      <c r="AK10" s="70"/>
      <c r="AL10" s="32" t="s">
        <v>79</v>
      </c>
      <c r="AM10" s="30"/>
    </row>
    <row r="11" spans="1:56" ht="15.75" x14ac:dyDescent="0.25">
      <c r="A11" s="30"/>
      <c r="B11" s="5"/>
      <c r="C11" s="6"/>
      <c r="D11" s="6"/>
      <c r="E11" s="6"/>
      <c r="F11" s="6"/>
      <c r="G11" s="6"/>
      <c r="H11" s="6"/>
      <c r="I11" s="6"/>
      <c r="J11" s="12" t="s">
        <v>6</v>
      </c>
      <c r="K11" s="6"/>
      <c r="L11" s="6"/>
      <c r="M11" s="11" t="s">
        <v>7</v>
      </c>
      <c r="N11" s="6"/>
      <c r="O11" s="6"/>
      <c r="P11" s="11" t="s">
        <v>22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7"/>
      <c r="AF11" s="30"/>
      <c r="AG11" s="37">
        <v>15</v>
      </c>
      <c r="AH11" s="37">
        <v>5</v>
      </c>
      <c r="AI11" s="30"/>
      <c r="AJ11" s="32" t="s">
        <v>36</v>
      </c>
      <c r="AK11" s="36" t="s">
        <v>37</v>
      </c>
      <c r="AL11" s="41" t="str">
        <f>LOWER(CONCATENATE(Кроссворд!J4,Кроссворд!K4,Кроссворд!L4,Кроссворд!M4,Кроссворд!N4,Кроссворд!O4,Кроссворд!P4))</f>
        <v>монитор</v>
      </c>
      <c r="AM11" s="30"/>
    </row>
    <row r="12" spans="1:56" ht="15.75" x14ac:dyDescent="0.25">
      <c r="A12" s="30"/>
      <c r="B12" s="5"/>
      <c r="C12" s="6"/>
      <c r="D12" s="6"/>
      <c r="E12" s="6"/>
      <c r="F12" s="6"/>
      <c r="G12" s="6"/>
      <c r="H12" s="6"/>
      <c r="I12" s="6"/>
      <c r="J12" s="11" t="s">
        <v>8</v>
      </c>
      <c r="K12" s="6"/>
      <c r="L12" s="6"/>
      <c r="M12" s="11" t="s">
        <v>8</v>
      </c>
      <c r="N12" s="6"/>
      <c r="O12" s="6"/>
      <c r="P12" s="11" t="s">
        <v>23</v>
      </c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7"/>
      <c r="AF12" s="30"/>
      <c r="AG12" s="38" t="s">
        <v>34</v>
      </c>
      <c r="AH12" s="37">
        <v>4</v>
      </c>
      <c r="AI12" s="30"/>
      <c r="AJ12" s="32" t="s">
        <v>38</v>
      </c>
      <c r="AK12" s="36" t="s">
        <v>52</v>
      </c>
      <c r="AL12" s="41" t="str">
        <f>LOWER(CONCATENATE(Кроссворд!P4,Кроссворд!P5,Кроссворд!P6,Кроссворд!P7,Кроссворд!P8,Кроссворд!P9,Кроссворд!P10,Кроссворд!P11,Кроссворд!P12,Кроссворд!P13,Кроссворд!P14))</f>
        <v>разрядность</v>
      </c>
      <c r="AM12" s="30"/>
    </row>
    <row r="13" spans="1:56" ht="15.75" x14ac:dyDescent="0.25">
      <c r="A13" s="30"/>
      <c r="B13" s="5"/>
      <c r="C13" s="6"/>
      <c r="D13" s="6"/>
      <c r="E13" s="6"/>
      <c r="F13" s="6"/>
      <c r="G13" s="6"/>
      <c r="H13" s="6"/>
      <c r="I13" s="6"/>
      <c r="J13" s="13" t="s">
        <v>12</v>
      </c>
      <c r="K13" s="6"/>
      <c r="L13" s="6"/>
      <c r="M13" s="11" t="s">
        <v>9</v>
      </c>
      <c r="N13" s="6"/>
      <c r="O13" s="6"/>
      <c r="P13" s="11" t="s">
        <v>12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7"/>
      <c r="AF13" s="30"/>
      <c r="AG13" s="38" t="s">
        <v>35</v>
      </c>
      <c r="AH13" s="37">
        <v>3</v>
      </c>
      <c r="AI13" s="30"/>
      <c r="AJ13" s="32" t="s">
        <v>39</v>
      </c>
      <c r="AK13" s="36" t="s">
        <v>53</v>
      </c>
      <c r="AL13" s="41" t="str">
        <f>LOWER(CONCATENATE(Кроссворд!J4,Кроссворд!J5,Кроссворд!J6,Кроссворд!J7,Кроссворд!J8,Кроссворд!J9,Кроссворд!J10,Кроссворд!J11))</f>
        <v>микрофон</v>
      </c>
      <c r="AM13" s="30"/>
    </row>
    <row r="14" spans="1:56" ht="15.75" x14ac:dyDescent="0.25">
      <c r="A14" s="30"/>
      <c r="B14" s="5"/>
      <c r="C14" s="6"/>
      <c r="D14" s="6"/>
      <c r="E14" s="6"/>
      <c r="F14" s="6"/>
      <c r="G14" s="16">
        <v>5</v>
      </c>
      <c r="H14" s="11" t="s">
        <v>16</v>
      </c>
      <c r="I14" s="11" t="s">
        <v>6</v>
      </c>
      <c r="J14" s="11" t="s">
        <v>9</v>
      </c>
      <c r="K14" s="11" t="s">
        <v>7</v>
      </c>
      <c r="L14" s="6"/>
      <c r="M14" s="11" t="s">
        <v>10</v>
      </c>
      <c r="N14" s="6"/>
      <c r="O14" s="6"/>
      <c r="P14" s="11" t="s">
        <v>24</v>
      </c>
      <c r="Q14" s="6"/>
      <c r="R14" s="6"/>
      <c r="S14" s="6"/>
      <c r="T14" s="6"/>
      <c r="U14" s="16">
        <v>11</v>
      </c>
      <c r="V14" s="6"/>
      <c r="W14" s="6"/>
      <c r="X14" s="6"/>
      <c r="Y14" s="6"/>
      <c r="Z14" s="6"/>
      <c r="AA14" s="6"/>
      <c r="AB14" s="6"/>
      <c r="AC14" s="6"/>
      <c r="AD14" s="6"/>
      <c r="AE14" s="7"/>
      <c r="AF14" s="30"/>
      <c r="AG14" s="39" t="s">
        <v>32</v>
      </c>
      <c r="AH14" s="37">
        <v>2</v>
      </c>
      <c r="AI14" s="30"/>
      <c r="AJ14" s="32" t="s">
        <v>40</v>
      </c>
      <c r="AK14" s="36" t="s">
        <v>54</v>
      </c>
      <c r="AL14" s="41" t="str">
        <f>LOWER(CONCATENATE(Кроссворд!M3,Кроссворд!M4,Кроссворд!M5,Кроссворд!M6,Кроссворд!M7,Кроссворд!M8,Кроссворд!M9,Кроссворд!M10))</f>
        <v>дисковод</v>
      </c>
      <c r="AM14" s="30"/>
      <c r="BC14" s="43"/>
      <c r="BD14" s="18" t="s">
        <v>84</v>
      </c>
    </row>
    <row r="15" spans="1:56" ht="15.75" x14ac:dyDescent="0.25">
      <c r="A15" s="30"/>
      <c r="B15" s="5"/>
      <c r="C15" s="6"/>
      <c r="D15" s="6"/>
      <c r="E15" s="16">
        <v>7</v>
      </c>
      <c r="F15" s="6"/>
      <c r="G15" s="6"/>
      <c r="H15" s="6"/>
      <c r="I15" s="6"/>
      <c r="J15" s="12" t="s">
        <v>15</v>
      </c>
      <c r="K15" s="6"/>
      <c r="L15" s="6"/>
      <c r="M15" s="11" t="s">
        <v>9</v>
      </c>
      <c r="N15" s="6"/>
      <c r="O15" s="6"/>
      <c r="P15" s="11" t="s">
        <v>5</v>
      </c>
      <c r="Q15" s="6"/>
      <c r="R15" s="6"/>
      <c r="S15" s="6"/>
      <c r="T15" s="16">
        <v>13</v>
      </c>
      <c r="U15" s="11" t="s">
        <v>22</v>
      </c>
      <c r="V15" s="11" t="s">
        <v>12</v>
      </c>
      <c r="W15" s="11" t="s">
        <v>29</v>
      </c>
      <c r="X15" s="11" t="s">
        <v>6</v>
      </c>
      <c r="Y15" s="11" t="s">
        <v>11</v>
      </c>
      <c r="Z15" s="11" t="s">
        <v>19</v>
      </c>
      <c r="AA15" s="11" t="s">
        <v>8</v>
      </c>
      <c r="AB15" s="11" t="s">
        <v>11</v>
      </c>
      <c r="AC15" s="11" t="s">
        <v>21</v>
      </c>
      <c r="AD15" s="11" t="s">
        <v>12</v>
      </c>
      <c r="AE15" s="11" t="s">
        <v>22</v>
      </c>
      <c r="AF15" s="30"/>
      <c r="AG15" s="30"/>
      <c r="AH15" s="30"/>
      <c r="AI15" s="30"/>
      <c r="AJ15" s="32" t="s">
        <v>41</v>
      </c>
      <c r="AK15" s="36" t="s">
        <v>55</v>
      </c>
      <c r="AL15" s="41" t="str">
        <f>LOWER(CONCATENATE(Кроссворд!H8,Кроссворд!I8,Кроссворд!J8,Кроссворд!K8))</f>
        <v>биос</v>
      </c>
      <c r="AM15" s="30"/>
      <c r="BC15" s="43">
        <v>1</v>
      </c>
      <c r="BD15" s="42">
        <f>IF(AK11=AL11,1,0)</f>
        <v>1</v>
      </c>
    </row>
    <row r="16" spans="1:56" ht="15.75" x14ac:dyDescent="0.25">
      <c r="A16" s="30"/>
      <c r="B16" s="5"/>
      <c r="C16" s="6"/>
      <c r="D16" s="6"/>
      <c r="E16" s="13" t="s">
        <v>10</v>
      </c>
      <c r="F16" s="6"/>
      <c r="G16" s="6"/>
      <c r="H16" s="6"/>
      <c r="I16" s="6"/>
      <c r="J16" s="11" t="s">
        <v>9</v>
      </c>
      <c r="K16" s="6"/>
      <c r="L16" s="6"/>
      <c r="M16" s="11" t="s">
        <v>5</v>
      </c>
      <c r="N16" s="6"/>
      <c r="O16" s="6"/>
      <c r="P16" s="11" t="s">
        <v>14</v>
      </c>
      <c r="Q16" s="6"/>
      <c r="R16" s="6"/>
      <c r="S16" s="6"/>
      <c r="T16" s="6"/>
      <c r="U16" s="11" t="s">
        <v>21</v>
      </c>
      <c r="V16" s="6"/>
      <c r="W16" s="6"/>
      <c r="X16" s="6"/>
      <c r="Y16" s="6"/>
      <c r="Z16" s="6"/>
      <c r="AA16" s="6"/>
      <c r="AB16" s="6"/>
      <c r="AC16" s="6"/>
      <c r="AD16" s="6"/>
      <c r="AE16" s="7"/>
      <c r="AF16" s="30"/>
      <c r="AG16" s="70" t="s">
        <v>33</v>
      </c>
      <c r="AH16" s="70"/>
      <c r="AI16" s="30"/>
      <c r="AJ16" s="32" t="s">
        <v>42</v>
      </c>
      <c r="AK16" s="36" t="s">
        <v>85</v>
      </c>
      <c r="AL16" s="41" t="str">
        <f>LOWER(CONCATENATE(Кроссворд!D11,Кроссворд!E11,Кроссворд!F11,Кроссворд!G11,Кроссворд!H11,Кроссворд!I11,Кроссворд!J11,Кроссворд!K11,Кроссворд!L11))</f>
        <v>системный</v>
      </c>
      <c r="AM16" s="30"/>
      <c r="BC16" s="43">
        <v>2</v>
      </c>
      <c r="BD16" s="42">
        <f t="shared" ref="BD16:BD28" si="0">IF(AK12=AL12,1,0)</f>
        <v>1</v>
      </c>
    </row>
    <row r="17" spans="1:56" ht="15.75" x14ac:dyDescent="0.25">
      <c r="A17" s="30"/>
      <c r="B17" s="5"/>
      <c r="C17" s="16">
        <v>6</v>
      </c>
      <c r="D17" s="11" t="s">
        <v>7</v>
      </c>
      <c r="E17" s="11" t="s">
        <v>6</v>
      </c>
      <c r="F17" s="11" t="s">
        <v>7</v>
      </c>
      <c r="G17" s="11" t="s">
        <v>11</v>
      </c>
      <c r="H17" s="11" t="s">
        <v>19</v>
      </c>
      <c r="I17" s="11" t="s">
        <v>13</v>
      </c>
      <c r="J17" s="11" t="s">
        <v>14</v>
      </c>
      <c r="K17" s="11" t="s">
        <v>17</v>
      </c>
      <c r="L17" s="11" t="s">
        <v>18</v>
      </c>
      <c r="M17" s="6"/>
      <c r="N17" s="6"/>
      <c r="O17" s="6"/>
      <c r="P17" s="11" t="s">
        <v>9</v>
      </c>
      <c r="Q17" s="6"/>
      <c r="R17" s="16">
        <v>9</v>
      </c>
      <c r="S17" s="6"/>
      <c r="T17" s="6"/>
      <c r="U17" s="11" t="s">
        <v>5</v>
      </c>
      <c r="V17" s="6"/>
      <c r="W17" s="6"/>
      <c r="X17" s="6"/>
      <c r="Y17" s="6"/>
      <c r="Z17" s="6"/>
      <c r="AA17" s="6"/>
      <c r="AB17" s="6"/>
      <c r="AC17" s="6"/>
      <c r="AD17" s="6"/>
      <c r="AE17" s="7"/>
      <c r="AF17" s="30"/>
      <c r="AG17" s="40" t="s">
        <v>30</v>
      </c>
      <c r="AH17" s="40">
        <f>SUM(BD15:BD29)</f>
        <v>15</v>
      </c>
      <c r="AI17" s="30"/>
      <c r="AJ17" s="32" t="s">
        <v>43</v>
      </c>
      <c r="AK17" s="36" t="s">
        <v>56</v>
      </c>
      <c r="AL17" s="41" t="str">
        <f>LOWER(CONCATENATE(Кроссворд!E10,Кроссворд!E11,Кроссворд!E12,Кроссворд!E13,Кроссворд!E14,Кроссворд!E15,Кроссворд!E16,Кроссворд!E17,Кроссворд!E18))</f>
        <v>винчестер</v>
      </c>
      <c r="AM17" s="30"/>
      <c r="BC17" s="43">
        <v>3</v>
      </c>
      <c r="BD17" s="42">
        <f t="shared" si="0"/>
        <v>1</v>
      </c>
    </row>
    <row r="18" spans="1:56" ht="15.75" x14ac:dyDescent="0.25">
      <c r="A18" s="30"/>
      <c r="B18" s="5"/>
      <c r="C18" s="6"/>
      <c r="D18" s="6"/>
      <c r="E18" s="12" t="s">
        <v>14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13" t="s">
        <v>7</v>
      </c>
      <c r="Q18" s="6"/>
      <c r="R18" s="11" t="s">
        <v>26</v>
      </c>
      <c r="S18" s="6"/>
      <c r="T18" s="16">
        <v>12</v>
      </c>
      <c r="U18" s="11" t="s">
        <v>6</v>
      </c>
      <c r="V18" s="11" t="s">
        <v>14</v>
      </c>
      <c r="W18" s="11" t="s">
        <v>10</v>
      </c>
      <c r="X18" s="11" t="s">
        <v>19</v>
      </c>
      <c r="Y18" s="11" t="s">
        <v>12</v>
      </c>
      <c r="Z18" s="11" t="s">
        <v>11</v>
      </c>
      <c r="AA18" s="11" t="s">
        <v>9</v>
      </c>
      <c r="AB18" s="11" t="s">
        <v>12</v>
      </c>
      <c r="AC18" s="6"/>
      <c r="AD18" s="6"/>
      <c r="AE18" s="7"/>
      <c r="AF18" s="30"/>
      <c r="AG18" s="40" t="s">
        <v>31</v>
      </c>
      <c r="AH18" s="40">
        <f>IF(AH17=15,5,IF(AND(AH17&lt;15,AH17&gt;7),4,IF(AND(AH17&lt;8,AH17&gt;4),3,2)))</f>
        <v>5</v>
      </c>
      <c r="AI18" s="30"/>
      <c r="AJ18" s="32" t="s">
        <v>44</v>
      </c>
      <c r="AK18" s="36" t="s">
        <v>57</v>
      </c>
      <c r="AL18" s="41" t="str">
        <f>LOWER(CONCATENATE(Кроссворд!J13,Кроссворд!K13,Кроссворд!L13,Кроссворд!M13,Кроссворд!N13,Кроссворд!O13,Кроссворд!P13,Кроссворд!Q13,Кроссворд!R13,Кроссворд!S13))</f>
        <v>клавиатура</v>
      </c>
      <c r="AM18" s="30"/>
      <c r="BC18" s="43">
        <v>4</v>
      </c>
      <c r="BD18" s="42">
        <f>IF(AK14=AL14,1,0)</f>
        <v>1</v>
      </c>
    </row>
    <row r="19" spans="1:56" ht="15.75" x14ac:dyDescent="0.25">
      <c r="A19" s="30"/>
      <c r="B19" s="5"/>
      <c r="C19" s="6"/>
      <c r="D19" s="6"/>
      <c r="E19" s="11" t="s">
        <v>20</v>
      </c>
      <c r="F19" s="6"/>
      <c r="G19" s="6"/>
      <c r="H19" s="6"/>
      <c r="I19" s="16">
        <v>8</v>
      </c>
      <c r="J19" s="11" t="s">
        <v>8</v>
      </c>
      <c r="K19" s="11" t="s">
        <v>28</v>
      </c>
      <c r="L19" s="11" t="s">
        <v>22</v>
      </c>
      <c r="M19" s="11" t="s">
        <v>10</v>
      </c>
      <c r="N19" s="11" t="s">
        <v>6</v>
      </c>
      <c r="O19" s="11" t="s">
        <v>22</v>
      </c>
      <c r="P19" s="11" t="s">
        <v>11</v>
      </c>
      <c r="Q19" s="14" t="s">
        <v>21</v>
      </c>
      <c r="R19" s="11" t="s">
        <v>12</v>
      </c>
      <c r="S19" s="15" t="s">
        <v>22</v>
      </c>
      <c r="T19" s="6"/>
      <c r="U19" s="11" t="s">
        <v>9</v>
      </c>
      <c r="V19" s="6"/>
      <c r="W19" s="6"/>
      <c r="X19" s="6"/>
      <c r="Y19" s="6"/>
      <c r="Z19" s="6"/>
      <c r="AA19" s="6"/>
      <c r="AB19" s="6"/>
      <c r="AC19" s="6"/>
      <c r="AD19" s="6"/>
      <c r="AE19" s="7"/>
      <c r="AF19" s="30"/>
      <c r="AG19" s="30"/>
      <c r="AH19" s="30"/>
      <c r="AI19" s="30"/>
      <c r="AJ19" s="32" t="s">
        <v>45</v>
      </c>
      <c r="AK19" s="36" t="s">
        <v>58</v>
      </c>
      <c r="AL19" s="41" t="str">
        <f>LOWER(CONCATENATE(Кроссворд!R12,Кроссворд!R13,Кроссворд!R14,Кроссворд!R15,Кроссворд!R16,Кроссворд!R17,Кроссворд!R18,Кроссворд!R19,Кроссворд!R20))</f>
        <v>процессор</v>
      </c>
      <c r="AM19" s="30"/>
      <c r="BC19" s="43">
        <v>5</v>
      </c>
      <c r="BD19" s="42">
        <f t="shared" si="0"/>
        <v>1</v>
      </c>
    </row>
    <row r="20" spans="1:56" ht="15.75" x14ac:dyDescent="0.25">
      <c r="A20" s="30"/>
      <c r="B20" s="5"/>
      <c r="C20" s="6"/>
      <c r="D20" s="6"/>
      <c r="E20" s="13" t="s">
        <v>19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12" t="s">
        <v>25</v>
      </c>
      <c r="Q20" s="6"/>
      <c r="R20" s="11" t="s">
        <v>9</v>
      </c>
      <c r="S20" s="6"/>
      <c r="T20" s="6"/>
      <c r="U20" s="11" t="s">
        <v>22</v>
      </c>
      <c r="V20" s="6"/>
      <c r="W20" s="6"/>
      <c r="X20" s="6"/>
      <c r="Y20" s="6"/>
      <c r="Z20" s="6"/>
      <c r="AA20" s="6"/>
      <c r="AB20" s="6"/>
      <c r="AC20" s="6"/>
      <c r="AD20" s="6"/>
      <c r="AE20" s="7"/>
      <c r="AF20" s="30"/>
      <c r="AG20" s="30"/>
      <c r="AH20" s="30"/>
      <c r="AI20" s="30"/>
      <c r="AJ20" s="32" t="s">
        <v>46</v>
      </c>
      <c r="AK20" s="36" t="s">
        <v>59</v>
      </c>
      <c r="AL20" s="41" t="str">
        <f>LOWER(CONCATENATE(Кроссворд!O16,Кроссворд!P16,Кроссворд!Q16,Кроссворд!R16,Кроссворд!S16,Кроссворд!T16,Кроссворд!U16,Кроссворд!V16,Кроссворд!W16,Кроссворд!X16,Кроссворд!Y16))</f>
        <v>видеопамять</v>
      </c>
      <c r="AM20" s="30"/>
      <c r="BC20" s="43">
        <v>6</v>
      </c>
      <c r="BD20" s="42">
        <f t="shared" si="0"/>
        <v>1</v>
      </c>
    </row>
    <row r="21" spans="1:56" ht="15.75" x14ac:dyDescent="0.25">
      <c r="A21" s="30"/>
      <c r="B21" s="5"/>
      <c r="C21" s="6"/>
      <c r="D21" s="16">
        <v>14</v>
      </c>
      <c r="E21" s="11" t="s">
        <v>7</v>
      </c>
      <c r="F21" s="11" t="s">
        <v>21</v>
      </c>
      <c r="G21" s="11" t="s">
        <v>13</v>
      </c>
      <c r="H21" s="11" t="s">
        <v>13</v>
      </c>
      <c r="I21" s="11" t="s">
        <v>22</v>
      </c>
      <c r="J21" s="11" t="s">
        <v>11</v>
      </c>
      <c r="K21" s="11" t="s">
        <v>9</v>
      </c>
      <c r="L21" s="11" t="s">
        <v>12</v>
      </c>
      <c r="M21" s="6"/>
      <c r="N21" s="6"/>
      <c r="O21" s="6"/>
      <c r="P21" s="6"/>
      <c r="Q21" s="6"/>
      <c r="R21" s="11" t="s">
        <v>27</v>
      </c>
      <c r="S21" s="6"/>
      <c r="T21" s="6"/>
      <c r="U21" s="11" t="s">
        <v>5</v>
      </c>
      <c r="V21" s="6"/>
      <c r="W21" s="6"/>
      <c r="X21" s="6"/>
      <c r="Y21" s="6"/>
      <c r="Z21" s="6"/>
      <c r="AA21" s="6"/>
      <c r="AB21" s="6"/>
      <c r="AC21" s="6"/>
      <c r="AD21" s="6"/>
      <c r="AE21" s="7"/>
      <c r="AF21" s="30"/>
      <c r="AG21" s="30"/>
      <c r="AH21" s="30"/>
      <c r="AI21" s="30"/>
      <c r="AJ21" s="32" t="s">
        <v>47</v>
      </c>
      <c r="AK21" s="36" t="s">
        <v>80</v>
      </c>
      <c r="AL21" s="41" t="str">
        <f>LOWER(CONCATENATE(Кроссворд!U9,Кроссворд!U10,Кроссворд!U11,Кроссворд!U12,Кроссворд!U13,Кроссворд!U14,Кроссворд!U15,Кроссворд!U16,Кроссворд!U17,Кроссворд!U18,Кроссворд!U19,Кроссворд!U20))</f>
        <v>аудиоадаптер</v>
      </c>
      <c r="AM21" s="30"/>
      <c r="BC21" s="43">
        <v>7</v>
      </c>
      <c r="BD21" s="42">
        <f>IF(AK17=AL17,1,0)</f>
        <v>1</v>
      </c>
    </row>
    <row r="22" spans="1:56" ht="15.75" x14ac:dyDescent="0.25">
      <c r="A22" s="30"/>
      <c r="B22" s="5"/>
      <c r="C22" s="6"/>
      <c r="D22" s="6"/>
      <c r="E22" s="12" t="s">
        <v>11</v>
      </c>
      <c r="F22" s="6"/>
      <c r="G22" s="6"/>
      <c r="H22" s="6"/>
      <c r="I22" s="6"/>
      <c r="J22" s="6"/>
      <c r="K22" s="6"/>
      <c r="L22" s="6"/>
      <c r="M22" s="6"/>
      <c r="N22" s="16">
        <v>10</v>
      </c>
      <c r="O22" s="11" t="s">
        <v>10</v>
      </c>
      <c r="P22" s="11" t="s">
        <v>6</v>
      </c>
      <c r="Q22" s="11" t="s">
        <v>5</v>
      </c>
      <c r="R22" s="11" t="s">
        <v>19</v>
      </c>
      <c r="S22" s="11" t="s">
        <v>9</v>
      </c>
      <c r="T22" s="11" t="s">
        <v>26</v>
      </c>
      <c r="U22" s="11" t="s">
        <v>22</v>
      </c>
      <c r="V22" s="11" t="s">
        <v>13</v>
      </c>
      <c r="W22" s="11" t="s">
        <v>24</v>
      </c>
      <c r="X22" s="11" t="s">
        <v>11</v>
      </c>
      <c r="Y22" s="11" t="s">
        <v>25</v>
      </c>
      <c r="Z22" s="6"/>
      <c r="AA22" s="6"/>
      <c r="AB22" s="6"/>
      <c r="AC22" s="6"/>
      <c r="AD22" s="6"/>
      <c r="AE22" s="7"/>
      <c r="AF22" s="30"/>
      <c r="AG22" s="30"/>
      <c r="AH22" s="30"/>
      <c r="AI22" s="30"/>
      <c r="AJ22" s="32" t="s">
        <v>48</v>
      </c>
      <c r="AK22" s="36" t="s">
        <v>60</v>
      </c>
      <c r="AL22" s="41" t="str">
        <f>LOWER(CONCATENATE(Кроссворд!U12,Кроссворд!V12,Кроссворд!W12,Кроссворд!X12,Кроссворд!Y12,Кроссворд!Z12,Кроссворд!AA12,Кроссворд!AB12))</f>
        <v>инвертор</v>
      </c>
      <c r="AM22" s="30"/>
      <c r="BC22" s="43">
        <v>8</v>
      </c>
      <c r="BD22" s="42">
        <f t="shared" si="0"/>
        <v>1</v>
      </c>
    </row>
    <row r="23" spans="1:56" ht="15.75" x14ac:dyDescent="0.25">
      <c r="A23" s="30"/>
      <c r="B23" s="16">
        <v>15</v>
      </c>
      <c r="C23" s="11" t="s">
        <v>9</v>
      </c>
      <c r="D23" s="14" t="s">
        <v>26</v>
      </c>
      <c r="E23" s="11" t="s">
        <v>19</v>
      </c>
      <c r="F23" s="15" t="s">
        <v>12</v>
      </c>
      <c r="G23" s="11" t="s">
        <v>22</v>
      </c>
      <c r="H23" s="11" t="s">
        <v>11</v>
      </c>
      <c r="I23" s="11" t="s">
        <v>6</v>
      </c>
      <c r="J23" s="11" t="s">
        <v>10</v>
      </c>
      <c r="K23" s="11" t="s">
        <v>14</v>
      </c>
      <c r="L23" s="11" t="s">
        <v>22</v>
      </c>
      <c r="M23" s="11" t="s">
        <v>24</v>
      </c>
      <c r="N23" s="6"/>
      <c r="O23" s="6"/>
      <c r="P23" s="6"/>
      <c r="Q23" s="6"/>
      <c r="R23" s="11" t="s">
        <v>7</v>
      </c>
      <c r="S23" s="6"/>
      <c r="T23" s="6"/>
      <c r="U23" s="11" t="s">
        <v>26</v>
      </c>
      <c r="V23" s="6"/>
      <c r="W23" s="6"/>
      <c r="X23" s="6"/>
      <c r="Y23" s="6"/>
      <c r="Z23" s="6"/>
      <c r="AA23" s="6"/>
      <c r="AB23" s="6"/>
      <c r="AC23" s="6"/>
      <c r="AD23" s="6"/>
      <c r="AE23" s="7"/>
      <c r="AF23" s="30"/>
      <c r="AG23" s="30"/>
      <c r="AH23" s="30"/>
      <c r="AI23" s="30"/>
      <c r="AJ23" s="32" t="s">
        <v>49</v>
      </c>
      <c r="AK23" s="36" t="s">
        <v>81</v>
      </c>
      <c r="AL23" s="41" t="str">
        <f>LOWER(CONCATENATE(Кроссворд!U9,Кроссворд!V9,Кроссворд!W9,Кроссворд!X9,Кроссворд!Y9,Кроссворд!Z9,Кроссворд!AA9,Кроссворд!AB9,Кроссворд!AC9,Кроссворд!AD9,Кроссворд!AE9))</f>
        <v>архитектура</v>
      </c>
      <c r="AM23" s="30"/>
      <c r="BC23" s="43">
        <v>9</v>
      </c>
      <c r="BD23" s="42">
        <f t="shared" si="0"/>
        <v>1</v>
      </c>
    </row>
    <row r="24" spans="1:56" ht="15.75" x14ac:dyDescent="0.25">
      <c r="A24" s="30"/>
      <c r="B24" s="5"/>
      <c r="C24" s="6"/>
      <c r="D24" s="6"/>
      <c r="E24" s="11" t="s">
        <v>12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11" t="s">
        <v>7</v>
      </c>
      <c r="S24" s="6"/>
      <c r="T24" s="6"/>
      <c r="U24" s="11" t="s">
        <v>11</v>
      </c>
      <c r="V24" s="6"/>
      <c r="W24" s="6"/>
      <c r="X24" s="6"/>
      <c r="Y24" s="6"/>
      <c r="Z24" s="6"/>
      <c r="AA24" s="6"/>
      <c r="AB24" s="6"/>
      <c r="AC24" s="6"/>
      <c r="AD24" s="6"/>
      <c r="AE24" s="7"/>
      <c r="AF24" s="30"/>
      <c r="AG24" s="30"/>
      <c r="AH24" s="30"/>
      <c r="AI24" s="30"/>
      <c r="AJ24" s="32" t="s">
        <v>50</v>
      </c>
      <c r="AK24" s="36" t="s">
        <v>82</v>
      </c>
      <c r="AL24" s="41" t="str">
        <f>LOWER(CONCATENATE(Кроссворд!E15,Кроссворд!F15,Кроссворд!G15,Кроссворд!H15,Кроссворд!I15,Кроссворд!J15,Кроссворд!K15,Кроссворд!L15))</f>
        <v>сумматор</v>
      </c>
      <c r="AM24" s="30"/>
      <c r="BC24" s="43">
        <v>10</v>
      </c>
      <c r="BD24" s="42">
        <f>IF(AK20=AL20,1,0)</f>
        <v>1</v>
      </c>
    </row>
    <row r="25" spans="1:56" ht="15.75" x14ac:dyDescent="0.25">
      <c r="A25" s="30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11" t="s">
        <v>9</v>
      </c>
      <c r="S25" s="6"/>
      <c r="T25" s="6"/>
      <c r="U25" s="11" t="s">
        <v>19</v>
      </c>
      <c r="V25" s="6"/>
      <c r="W25" s="6"/>
      <c r="X25" s="6"/>
      <c r="Y25" s="6"/>
      <c r="Z25" s="6"/>
      <c r="AA25" s="6"/>
      <c r="AB25" s="6"/>
      <c r="AC25" s="6"/>
      <c r="AD25" s="6"/>
      <c r="AE25" s="7"/>
      <c r="AF25" s="30"/>
      <c r="AG25" s="30"/>
      <c r="AH25" s="30"/>
      <c r="AI25" s="30"/>
      <c r="AJ25" s="32" t="s">
        <v>51</v>
      </c>
      <c r="AK25" s="36" t="s">
        <v>83</v>
      </c>
      <c r="AL25" s="41" t="str">
        <f>LOWER(CONCATENATE(Кроссворд!C17,Кроссворд!D17,Кроссворд!E17,Кроссворд!F17,Кроссворд!G17,Кроссворд!H17,Кроссворд!I17,Кроссворд!J17,Кроссворд!K17,Кроссворд!L17,Кроссворд!M17))</f>
        <v>оперативная</v>
      </c>
      <c r="AM25" s="30"/>
      <c r="BC25" s="43">
        <v>11</v>
      </c>
      <c r="BD25" s="42">
        <f t="shared" si="0"/>
        <v>1</v>
      </c>
    </row>
    <row r="26" spans="1:56" ht="15.75" x14ac:dyDescent="0.25">
      <c r="A26" s="30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11" t="s">
        <v>12</v>
      </c>
      <c r="S26" s="6"/>
      <c r="T26" s="6"/>
      <c r="U26" s="11" t="s">
        <v>12</v>
      </c>
      <c r="V26" s="6"/>
      <c r="W26" s="6"/>
      <c r="X26" s="6"/>
      <c r="Y26" s="6"/>
      <c r="Z26" s="6"/>
      <c r="AA26" s="6"/>
      <c r="AB26" s="6"/>
      <c r="AC26" s="6"/>
      <c r="AD26" s="6"/>
      <c r="AE26" s="7"/>
      <c r="AF26" s="30"/>
      <c r="AG26" s="30"/>
      <c r="AH26" s="30"/>
      <c r="AI26" s="30"/>
      <c r="AJ26" s="30"/>
      <c r="AK26" s="30"/>
      <c r="AL26" s="30"/>
      <c r="AM26" s="30"/>
      <c r="BC26" s="43">
        <v>12</v>
      </c>
      <c r="BD26" s="42">
        <f>IF(AK22=AL22,1,0)</f>
        <v>1</v>
      </c>
    </row>
    <row r="27" spans="1:56" ht="15.75" x14ac:dyDescent="0.25">
      <c r="A27" s="30"/>
      <c r="B27" s="8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10"/>
      <c r="AF27" s="30"/>
      <c r="AG27" s="30"/>
      <c r="AH27" s="30"/>
      <c r="AI27" s="30"/>
      <c r="BC27" s="43">
        <v>13</v>
      </c>
      <c r="BD27" s="42">
        <f t="shared" si="0"/>
        <v>1</v>
      </c>
    </row>
    <row r="28" spans="1:56" ht="15.75" x14ac:dyDescent="0.25">
      <c r="A28" s="30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30"/>
      <c r="AG28" s="30"/>
      <c r="AH28" s="30"/>
      <c r="AI28" s="30"/>
      <c r="BC28" s="43">
        <v>14</v>
      </c>
      <c r="BD28" s="42">
        <f t="shared" si="0"/>
        <v>1</v>
      </c>
    </row>
    <row r="29" spans="1:56" ht="15.75" x14ac:dyDescent="0.25">
      <c r="A29" s="30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30"/>
      <c r="AG29" s="30"/>
      <c r="AH29" s="30"/>
      <c r="AI29" s="30"/>
      <c r="BC29" s="43">
        <v>15</v>
      </c>
      <c r="BD29" s="42">
        <f>IF(AK25=AL25,1,0)</f>
        <v>1</v>
      </c>
    </row>
    <row r="30" spans="1:56" ht="15.75" x14ac:dyDescent="0.25">
      <c r="A30" s="30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30"/>
      <c r="AG30" s="30"/>
      <c r="AH30" s="30"/>
      <c r="AI30" s="30"/>
    </row>
    <row r="31" spans="1:56" ht="15.75" x14ac:dyDescent="0.25">
      <c r="A31" s="3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30"/>
      <c r="AG31" s="30"/>
      <c r="AH31" s="30"/>
      <c r="AI31" s="30"/>
    </row>
    <row r="32" spans="1:56" ht="15.75" x14ac:dyDescent="0.25">
      <c r="A32" s="30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30"/>
      <c r="AG32" s="30"/>
      <c r="AH32" s="30"/>
      <c r="AI32" s="30"/>
    </row>
  </sheetData>
  <mergeCells count="3">
    <mergeCell ref="AG16:AH16"/>
    <mergeCell ref="AJ10:AK10"/>
    <mergeCell ref="AG9:AH9"/>
  </mergeCells>
  <pageMargins left="0.7" right="0.7" top="0.75" bottom="0.75" header="0.3" footer="0.3"/>
  <ignoredErrors>
    <ignoredError sqref="AG12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Титульный лист</vt:lpstr>
      <vt:lpstr>Кроссворд</vt:lpstr>
      <vt:lpstr>Вопросы</vt:lpstr>
      <vt:lpstr>Результат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Васильева_АВ</dc:creator>
  <cp:lastModifiedBy>Евдокимов_АА</cp:lastModifiedBy>
  <dcterms:created xsi:type="dcterms:W3CDTF">2022-10-22T01:56:08Z</dcterms:created>
  <dcterms:modified xsi:type="dcterms:W3CDTF">2022-10-31T05:38:51Z</dcterms:modified>
</cp:coreProperties>
</file>