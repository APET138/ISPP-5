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-120" yWindow="-120" windowWidth="20640" windowHeight="11760" activeTab="2"/>
  </bookViews>
  <sheets>
    <sheet name="Кроссворд" sheetId="2" r:id="rId1"/>
    <sheet name="Вопросы" sheetId="3" r:id="rId2"/>
    <sheet name="Результат" sheetId="4" r:id="rId3"/>
  </sheet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L20" i="4" l="1"/>
  <c r="AL19" i="4"/>
  <c r="AL18" i="4"/>
  <c r="AL17" i="4"/>
  <c r="AL16" i="4"/>
  <c r="AL15" i="4"/>
  <c r="AL14" i="4"/>
  <c r="AL13" i="4"/>
  <c r="AL12" i="4"/>
  <c r="AL11" i="4"/>
  <c r="BD29" i="4" l="1"/>
  <c r="BD28" i="4"/>
  <c r="BD24" i="4"/>
  <c r="BD20" i="4"/>
  <c r="BD27" i="4"/>
  <c r="BD26" i="4"/>
  <c r="BD25" i="4"/>
  <c r="BD23" i="4"/>
  <c r="BD22" i="4"/>
  <c r="BD21" i="4"/>
  <c r="BD19" i="4"/>
  <c r="BD18" i="4"/>
  <c r="BD17" i="4"/>
  <c r="BD16" i="4"/>
  <c r="BD15" i="4"/>
  <c r="AH17" i="4" l="1"/>
  <c r="AH18" i="4" s="1"/>
</calcChain>
</file>

<file path=xl/sharedStrings.xml><?xml version="1.0" encoding="utf-8"?>
<sst xmlns="http://schemas.openxmlformats.org/spreadsheetml/2006/main" count="257" uniqueCount="70">
  <si>
    <t>д</t>
  </si>
  <si>
    <t>и</t>
  </si>
  <si>
    <t>с</t>
  </si>
  <si>
    <t>к</t>
  </si>
  <si>
    <t>о</t>
  </si>
  <si>
    <t>в</t>
  </si>
  <si>
    <t>т</t>
  </si>
  <si>
    <t>р</t>
  </si>
  <si>
    <t>м</t>
  </si>
  <si>
    <t>н</t>
  </si>
  <si>
    <t>ф</t>
  </si>
  <si>
    <t>й</t>
  </si>
  <si>
    <t>е</t>
  </si>
  <si>
    <t>ч</t>
  </si>
  <si>
    <t>у</t>
  </si>
  <si>
    <t>а</t>
  </si>
  <si>
    <t>з</t>
  </si>
  <si>
    <t>я</t>
  </si>
  <si>
    <t>ь</t>
  </si>
  <si>
    <t>п</t>
  </si>
  <si>
    <t>ц</t>
  </si>
  <si>
    <t>л</t>
  </si>
  <si>
    <t>Баллы</t>
  </si>
  <si>
    <t>Оценка</t>
  </si>
  <si>
    <t>4 и менее</t>
  </si>
  <si>
    <t>Проверка</t>
  </si>
  <si>
    <t>8-14</t>
  </si>
  <si>
    <t>5-7</t>
  </si>
  <si>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</si>
  <si>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</si>
  <si>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</si>
  <si>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</si>
  <si>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</si>
  <si>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</si>
  <si>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</si>
  <si>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</si>
  <si>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</si>
  <si>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</si>
  <si>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Критерии оценки</t>
  </si>
  <si>
    <r>
      <t>11.</t>
    </r>
    <r>
      <rPr>
        <sz val="7"/>
        <color theme="1"/>
        <rFont val="Times New Roman"/>
        <family val="1"/>
        <charset val="204"/>
      </rPr>
      <t xml:space="preserve">   </t>
    </r>
    <r>
      <rPr>
        <sz val="11"/>
        <color theme="1"/>
        <rFont val="Times New Roman"/>
        <family val="1"/>
        <charset val="204"/>
      </rPr>
      <t>Специальная электронная плата которая позволяет записывать звук воспроизводить его и создавать программными средствами с помощью микрофона наушников динамиков встроенного синтезатора и другого оборудования.</t>
    </r>
  </si>
  <si>
    <r>
      <t>12.</t>
    </r>
    <r>
      <rPr>
        <sz val="7"/>
        <color theme="1"/>
        <rFont val="Times New Roman"/>
        <family val="1"/>
        <charset val="204"/>
      </rPr>
      <t xml:space="preserve">   </t>
    </r>
    <r>
      <rPr>
        <sz val="11"/>
        <color theme="1"/>
        <rFont val="Times New Roman"/>
        <family val="1"/>
        <charset val="204"/>
      </rPr>
      <t>Элемент вычислительной машины осуществляющий определенные преобразования сигнала.</t>
    </r>
  </si>
  <si>
    <r>
      <t>13.</t>
    </r>
    <r>
      <rPr>
        <sz val="7"/>
        <color theme="1"/>
        <rFont val="Times New Roman"/>
        <family val="1"/>
        <charset val="204"/>
      </rPr>
      <t xml:space="preserve">   </t>
    </r>
    <r>
      <rPr>
        <sz val="11"/>
        <color theme="1"/>
        <rFont val="Times New Roman"/>
        <family val="1"/>
        <charset val="204"/>
      </rPr>
      <t>Набор правил и методов, описывающих функциональность, организацию и реализацию комп систем.</t>
    </r>
  </si>
  <si>
    <r>
      <t>14.</t>
    </r>
    <r>
      <rPr>
        <sz val="7"/>
        <color theme="1"/>
        <rFont val="Times New Roman"/>
        <family val="1"/>
        <charset val="204"/>
      </rPr>
      <t xml:space="preserve">   </t>
    </r>
    <r>
      <rPr>
        <sz val="11"/>
        <color theme="1"/>
        <rFont val="Times New Roman"/>
        <family val="1"/>
        <charset val="204"/>
      </rPr>
      <t>Цифровая схема, которая выполняет сложение чисел.</t>
    </r>
  </si>
  <si>
    <r>
      <t>15.</t>
    </r>
    <r>
      <rPr>
        <sz val="7"/>
        <color theme="1"/>
        <rFont val="Times New Roman"/>
        <family val="1"/>
        <charset val="204"/>
      </rPr>
      <t xml:space="preserve">   </t>
    </r>
    <r>
      <rPr>
        <sz val="11"/>
        <color theme="1"/>
        <rFont val="Times New Roman"/>
        <family val="1"/>
        <charset val="204"/>
      </rPr>
      <t>Форма компьютерной памяти, которая может быть прочитана и изменена в любом порядка, обычно используемая для хранения рабочих данных и машинного кода.</t>
    </r>
  </si>
  <si>
    <t>Ответы</t>
  </si>
  <si>
    <t>Введено</t>
  </si>
  <si>
    <t>?</t>
  </si>
  <si>
    <r>
      <t>1.</t>
    </r>
    <r>
      <rPr>
        <sz val="7"/>
        <color theme="1"/>
        <rFont val="Times New Roman"/>
        <family val="1"/>
        <charset val="204"/>
      </rPr>
      <t>   Процесс, в котором программное обеспечение испытывается на соответствие заявленным требованиям и ожиданиям пользователей.</t>
    </r>
  </si>
  <si>
    <r>
      <t>2.</t>
    </r>
    <r>
      <rPr>
        <sz val="7"/>
        <color theme="1"/>
        <rFont val="Times New Roman"/>
        <family val="1"/>
        <charset val="204"/>
      </rPr>
      <t>  Этот вид тестирования оценивает работоспособность системы в реалистичных условиях использования.</t>
    </r>
  </si>
  <si>
    <r>
      <t>3.</t>
    </r>
    <r>
      <rPr>
        <sz val="7"/>
        <color theme="1"/>
        <rFont val="Times New Roman"/>
        <family val="1"/>
        <charset val="204"/>
      </rPr>
      <t>     Тестирование, которое проводится перед внедрением программного обеспечения, чтобы выявить ошибки и дефекты.</t>
    </r>
  </si>
  <si>
    <r>
      <t>4.</t>
    </r>
    <r>
      <rPr>
        <sz val="7"/>
        <color theme="1"/>
        <rFont val="Times New Roman"/>
        <family val="1"/>
        <charset val="204"/>
      </rPr>
      <t>      Процесс проверки и подтверждения того, что система работает так, как было предположено</t>
    </r>
    <r>
      <rPr>
        <sz val="11"/>
        <color theme="1"/>
        <rFont val="Times New Roman"/>
        <family val="1"/>
        <charset val="204"/>
      </rPr>
      <t>.</t>
    </r>
  </si>
  <si>
    <r>
      <t>5.</t>
    </r>
    <r>
      <rPr>
        <sz val="7"/>
        <color theme="1"/>
        <rFont val="Times New Roman"/>
        <family val="1"/>
        <charset val="204"/>
      </rPr>
      <t>     Этот тип тестирования проверяет работу системы при максимальной нагрузке.</t>
    </r>
  </si>
  <si>
    <r>
      <t>6.</t>
    </r>
    <r>
      <rPr>
        <sz val="7"/>
        <color theme="1"/>
        <rFont val="Times New Roman"/>
        <family val="1"/>
        <charset val="204"/>
      </rPr>
      <t>    Программное обеспечение, которое используется для автоматизации тестовых сценариев.</t>
    </r>
  </si>
  <si>
    <r>
      <t>7.</t>
    </r>
    <r>
      <rPr>
        <sz val="7"/>
        <color theme="1"/>
        <rFont val="Times New Roman"/>
        <family val="1"/>
        <charset val="204"/>
      </rPr>
      <t>     Тестирование, которое выполняется после внедрения системы для обеспечения ее правильной работы.</t>
    </r>
  </si>
  <si>
    <r>
      <t>8.</t>
    </r>
    <r>
      <rPr>
        <sz val="7"/>
        <color theme="1"/>
        <rFont val="Times New Roman"/>
        <family val="1"/>
        <charset val="204"/>
      </rPr>
      <t>  Стандартный процесс тестирования, включающий юнит-тестирование, интеграционное тестирование и др.</t>
    </r>
  </si>
  <si>
    <r>
      <t>9.</t>
    </r>
    <r>
      <rPr>
        <sz val="7"/>
        <color theme="1"/>
        <rFont val="Times New Roman"/>
        <family val="1"/>
        <charset val="204"/>
      </rPr>
      <t>   Этот вид тестирования проверяет интерфейс системы на соответствие требованиям и удобство использования.</t>
    </r>
  </si>
  <si>
    <r>
      <t>10.</t>
    </r>
    <r>
      <rPr>
        <sz val="7"/>
        <color theme="1"/>
        <rFont val="Times New Roman"/>
        <family val="1"/>
        <charset val="204"/>
      </rPr>
      <t xml:space="preserve"> Процесс разработки тестовых случаев и планов для оценки качества программного обеспечения. </t>
    </r>
  </si>
  <si>
    <t>Тестирование</t>
  </si>
  <si>
    <t>Нагрузочное</t>
  </si>
  <si>
    <t>Предварительное</t>
  </si>
  <si>
    <t>Верификация</t>
  </si>
  <si>
    <t>Стресс</t>
  </si>
  <si>
    <t>Автоматизация</t>
  </si>
  <si>
    <t>Последующее</t>
  </si>
  <si>
    <t>Комплексное</t>
  </si>
  <si>
    <t>Интерфейсное</t>
  </si>
  <si>
    <t>Т</t>
  </si>
  <si>
    <t>г</t>
  </si>
  <si>
    <t>ю</t>
  </si>
  <si>
    <t>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</si>
</sst>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b/>
      <i/>
      <u/>
      <sz val="10"/>
      <color theme="1"/>
      <name val="Times New Roman"/>
      <family val="1"/>
      <charset val="204"/>
    </font>
    <font>
      <sz val="7"/>
      <color theme="1"/>
      <name val="Times New Roman"/>
      <family val="1"/>
      <charset val="204"/>
    </font>
    <font>
      <b/>
      <sz val="11"/>
      <color rgb="FF000000"/>
      <name val="Times New Roman"/>
      <family val="1"/>
      <charset val="204"/>
    </font>
    <font>
      <b/>
      <sz val="11"/>
      <color rgb="FF000000"/>
      <name val="Calibri"/>
      <family val="2"/>
      <charset val="204"/>
    </font>
  </fonts>
  <fills count="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4">
    <xf numFmtId="0" fontId="0" fillId="0" borderId="0" xfId="0"/>
    <xf numFmtId="0" fontId="5" fillId="0" borderId="0" xfId="0" applyFont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3" fillId="0" borderId="0" xfId="0" applyFont="1"/>
    <xf numFmtId="0" fontId="3" fillId="4" borderId="2" xfId="0" applyNumberFormat="1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 indent="4"/>
    </xf>
    <xf numFmtId="0" fontId="3" fillId="5" borderId="2" xfId="0" applyFont="1" applyFill="1" applyBorder="1" applyAlignment="1">
      <alignment vertical="center"/>
    </xf>
    <xf numFmtId="0" fontId="3" fillId="5" borderId="2" xfId="0" applyNumberFormat="1" applyFont="1" applyFill="1" applyBorder="1" applyAlignment="1">
      <alignment horizontal="center" vertical="center"/>
    </xf>
    <xf numFmtId="49" fontId="3" fillId="5" borderId="2" xfId="1" applyNumberFormat="1" applyFont="1" applyFill="1" applyBorder="1" applyAlignment="1">
      <alignment horizontal="center" vertical="center"/>
    </xf>
    <xf numFmtId="0" fontId="3" fillId="5" borderId="2" xfId="0" applyNumberFormat="1" applyFont="1" applyFill="1" applyBorder="1" applyAlignment="1">
      <alignment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/>
    </xf>
    <xf numFmtId="0" fontId="0" fillId="5" borderId="2" xfId="0" applyFill="1" applyBorder="1"/>
    <xf numFmtId="0" fontId="0" fillId="4" borderId="2" xfId="0" applyFill="1" applyBorder="1" applyAlignment="1">
      <alignment horizontal="center"/>
    </xf>
    <xf numFmtId="0" fontId="0" fillId="6" borderId="0" xfId="0" applyFill="1" applyBorder="1"/>
    <xf numFmtId="0" fontId="0" fillId="6" borderId="1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7" xfId="0" applyFill="1" applyBorder="1"/>
    <xf numFmtId="0" fontId="0" fillId="6" borderId="9" xfId="0" applyFill="1" applyBorder="1"/>
    <xf numFmtId="0" fontId="0" fillId="6" borderId="3" xfId="0" applyFill="1" applyBorder="1"/>
    <xf numFmtId="0" fontId="0" fillId="6" borderId="6" xfId="0" applyFill="1" applyBorder="1"/>
    <xf numFmtId="0" fontId="0" fillId="6" borderId="8" xfId="0" applyFill="1" applyBorder="1"/>
    <xf numFmtId="0" fontId="0" fillId="7" borderId="3" xfId="0" applyFill="1" applyBorder="1"/>
    <xf numFmtId="0" fontId="0" fillId="7" borderId="4" xfId="0" applyFill="1" applyBorder="1"/>
    <xf numFmtId="0" fontId="0" fillId="7" borderId="5" xfId="0" applyFill="1" applyBorder="1"/>
    <xf numFmtId="0" fontId="0" fillId="7" borderId="6" xfId="0" applyFill="1" applyBorder="1"/>
    <xf numFmtId="0" fontId="0" fillId="7" borderId="0" xfId="0" applyFill="1" applyBorder="1"/>
    <xf numFmtId="0" fontId="0" fillId="7" borderId="7" xfId="0" applyFill="1" applyBorder="1"/>
    <xf numFmtId="0" fontId="0" fillId="7" borderId="8" xfId="0" applyFill="1" applyBorder="1"/>
    <xf numFmtId="0" fontId="0" fillId="7" borderId="1" xfId="0" applyFill="1" applyBorder="1"/>
    <xf numFmtId="0" fontId="0" fillId="7" borderId="9" xfId="0" applyFill="1" applyBorder="1"/>
    <xf numFmtId="0" fontId="3" fillId="0" borderId="0" xfId="0" applyFont="1" applyAlignment="1">
      <alignment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/>
    </xf>
    <xf numFmtId="0" fontId="5" fillId="8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11" xfId="0" applyFont="1" applyFill="1" applyBorder="1" applyAlignment="1">
      <alignment horizontal="center" vertical="center"/>
    </xf>
    <xf numFmtId="0" fontId="5" fillId="8" borderId="12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4" borderId="13" xfId="0" applyFont="1" applyFill="1" applyBorder="1" applyAlignment="1">
      <alignment horizontal="center" vertical="center"/>
    </xf>
    <xf numFmtId="0" fontId="4" fillId="8" borderId="0" xfId="0" applyFont="1" applyFill="1" applyBorder="1" applyAlignment="1">
      <alignment horizontal="center" vertical="center"/>
    </xf>
    <xf numFmtId="0" fontId="3" fillId="8" borderId="0" xfId="0" applyFont="1" applyFill="1" applyBorder="1" applyAlignment="1">
      <alignment vertical="center"/>
    </xf>
    <xf numFmtId="0" fontId="3" fillId="8" borderId="0" xfId="0" applyFont="1" applyFill="1" applyBorder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180975</xdr:colOff>
          <xdr:row>28</xdr:row>
          <xdr:rowOff>180975</xdr:rowOff>
        </xdr:from>
        <xdr:to>
          <xdr:col>25</xdr:col>
          <xdr:colOff>142875</xdr:colOff>
          <xdr:row>30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29</xdr:row>
          <xdr:rowOff>0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Сбросить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B2:AG31"/>
  <sheetViews>
    <sheetView topLeftCell="A8" zoomScaleNormal="100" workbookViewId="0">
      <selection activeCell="B2" sqref="B2:AD26"/>
    </sheetView>
  </sheetViews>
  <sheetFormatPr defaultRowHeight="15" x14ac:dyDescent="0.25"/>
  <cols>
    <col min="2" max="2" width="3.5703125" bestFit="1" customWidth="1"/>
    <col min="3" max="3" width="2.5703125" bestFit="1" customWidth="1"/>
    <col min="4" max="4" width="3.5703125" bestFit="1" customWidth="1"/>
    <col min="5" max="5" width="2.5703125" bestFit="1" customWidth="1"/>
    <col min="6" max="6" width="2.42578125" bestFit="1" customWidth="1"/>
    <col min="7" max="7" width="3.5703125" bestFit="1" customWidth="1"/>
    <col min="8" max="8" width="2.7109375" bestFit="1" customWidth="1"/>
    <col min="9" max="9" width="3.5703125" bestFit="1" customWidth="1"/>
    <col min="10" max="10" width="2.5703125" bestFit="1" customWidth="1"/>
    <col min="11" max="11" width="2.85546875" bestFit="1" customWidth="1"/>
    <col min="12" max="12" width="2.5703125" bestFit="1" customWidth="1"/>
    <col min="13" max="13" width="3.28515625" bestFit="1" customWidth="1"/>
    <col min="14" max="14" width="3.5703125" bestFit="1" customWidth="1"/>
    <col min="15" max="15" width="2.42578125" bestFit="1" customWidth="1"/>
    <col min="16" max="16" width="3.5703125" bestFit="1" customWidth="1"/>
    <col min="17" max="17" width="2.42578125" bestFit="1" customWidth="1"/>
    <col min="18" max="18" width="3.5703125" bestFit="1" customWidth="1"/>
    <col min="19" max="19" width="2.42578125" bestFit="1" customWidth="1"/>
    <col min="20" max="21" width="3.5703125" bestFit="1" customWidth="1"/>
    <col min="22" max="22" width="2.7109375" bestFit="1" customWidth="1"/>
    <col min="23" max="25" width="2.5703125" bestFit="1" customWidth="1"/>
    <col min="26" max="26" width="2.42578125" bestFit="1" customWidth="1"/>
    <col min="27" max="27" width="2.5703125" bestFit="1" customWidth="1"/>
    <col min="28" max="31" width="2.42578125" bestFit="1" customWidth="1"/>
  </cols>
  <sheetData>
    <row r="2" spans="2:33" ht="15.75" x14ac:dyDescent="0.25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4"/>
      <c r="AE2" s="52"/>
    </row>
    <row r="3" spans="2:33" ht="15.75" x14ac:dyDescent="0.25"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55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7"/>
      <c r="AE3" s="52"/>
    </row>
    <row r="4" spans="2:33" ht="15.75" x14ac:dyDescent="0.25">
      <c r="B4" s="5"/>
      <c r="C4" s="6"/>
      <c r="D4" s="6"/>
      <c r="E4" s="6"/>
      <c r="F4" s="6"/>
      <c r="G4" s="6"/>
      <c r="H4" s="6"/>
      <c r="I4" s="6"/>
      <c r="J4" s="55"/>
      <c r="K4" s="6"/>
      <c r="L4" s="6"/>
      <c r="M4" s="6"/>
      <c r="N4" s="6"/>
      <c r="O4" s="6"/>
      <c r="P4" s="55"/>
      <c r="Q4" s="6"/>
      <c r="R4" s="51">
        <v>6</v>
      </c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7"/>
      <c r="AE4" s="52"/>
      <c r="AG4" s="46"/>
    </row>
    <row r="5" spans="2:33" ht="15.75" x14ac:dyDescent="0.25">
      <c r="B5" s="5"/>
      <c r="C5" s="6"/>
      <c r="D5" s="6"/>
      <c r="E5" s="6"/>
      <c r="F5" s="6"/>
      <c r="G5" s="6"/>
      <c r="H5" s="6"/>
      <c r="I5" s="14">
        <v>1</v>
      </c>
      <c r="J5" s="11" t="s">
        <v>66</v>
      </c>
      <c r="K5" s="11" t="s">
        <v>12</v>
      </c>
      <c r="L5" s="11" t="s">
        <v>2</v>
      </c>
      <c r="M5" s="11" t="s">
        <v>6</v>
      </c>
      <c r="N5" s="11" t="s">
        <v>1</v>
      </c>
      <c r="O5" s="11" t="s">
        <v>7</v>
      </c>
      <c r="P5" s="11" t="s">
        <v>4</v>
      </c>
      <c r="Q5" s="50" t="s">
        <v>5</v>
      </c>
      <c r="R5" s="54" t="s">
        <v>15</v>
      </c>
      <c r="S5" s="54" t="s">
        <v>9</v>
      </c>
      <c r="T5" s="54" t="s">
        <v>1</v>
      </c>
      <c r="U5" s="54" t="s">
        <v>12</v>
      </c>
      <c r="V5" s="6"/>
      <c r="W5" s="6"/>
      <c r="X5" s="6"/>
      <c r="Y5" s="6"/>
      <c r="Z5" s="6"/>
      <c r="AA5" s="6"/>
      <c r="AB5" s="6"/>
      <c r="AC5" s="6"/>
      <c r="AD5" s="7"/>
      <c r="AE5" s="52"/>
      <c r="AG5" s="46"/>
    </row>
    <row r="6" spans="2:33" ht="15.75" x14ac:dyDescent="0.25"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51">
        <v>4</v>
      </c>
      <c r="R6" s="50" t="s">
        <v>5</v>
      </c>
      <c r="S6" s="50" t="s">
        <v>12</v>
      </c>
      <c r="T6" s="50" t="s">
        <v>7</v>
      </c>
      <c r="U6" s="50" t="s">
        <v>1</v>
      </c>
      <c r="V6" s="50" t="s">
        <v>10</v>
      </c>
      <c r="W6" s="50" t="s">
        <v>1</v>
      </c>
      <c r="X6" s="50" t="s">
        <v>3</v>
      </c>
      <c r="Y6" s="50" t="s">
        <v>15</v>
      </c>
      <c r="Z6" s="50" t="s">
        <v>20</v>
      </c>
      <c r="AA6" s="50" t="s">
        <v>1</v>
      </c>
      <c r="AB6" s="50" t="s">
        <v>17</v>
      </c>
      <c r="AC6" s="6"/>
      <c r="AD6" s="7"/>
      <c r="AE6" s="52"/>
      <c r="AG6" s="46"/>
    </row>
    <row r="7" spans="2:33" ht="15.75" x14ac:dyDescent="0.25"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56" t="s">
        <v>6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7"/>
      <c r="AE7" s="52"/>
      <c r="AG7" s="46"/>
    </row>
    <row r="8" spans="2:33" ht="15.75" x14ac:dyDescent="0.25">
      <c r="B8" s="5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50" t="s">
        <v>4</v>
      </c>
      <c r="S8" s="6"/>
      <c r="T8" s="6"/>
      <c r="U8" s="6"/>
      <c r="V8" s="6"/>
      <c r="W8" s="6"/>
      <c r="X8" s="6"/>
      <c r="Y8" s="6"/>
      <c r="Z8" s="51">
        <v>7</v>
      </c>
      <c r="AA8" s="6"/>
      <c r="AB8" s="6"/>
      <c r="AC8" s="6"/>
      <c r="AD8" s="7"/>
      <c r="AE8" s="52"/>
      <c r="AG8" s="46"/>
    </row>
    <row r="9" spans="2:33" ht="15.75" x14ac:dyDescent="0.25">
      <c r="B9" s="5"/>
      <c r="C9" s="6"/>
      <c r="D9" s="6"/>
      <c r="E9" s="6"/>
      <c r="F9" s="6"/>
      <c r="G9" s="55"/>
      <c r="H9" s="6"/>
      <c r="I9" s="6"/>
      <c r="J9" s="6"/>
      <c r="K9" s="6"/>
      <c r="L9" s="6"/>
      <c r="M9" s="6"/>
      <c r="N9" s="6"/>
      <c r="O9" s="6"/>
      <c r="P9" s="6"/>
      <c r="Q9" s="6"/>
      <c r="R9" s="54" t="s">
        <v>8</v>
      </c>
      <c r="S9" s="6"/>
      <c r="T9" s="6"/>
      <c r="U9" s="55"/>
      <c r="V9" s="6"/>
      <c r="W9" s="6"/>
      <c r="X9" s="6"/>
      <c r="Y9" s="6"/>
      <c r="Z9" s="50" t="s">
        <v>19</v>
      </c>
      <c r="AA9" s="6"/>
      <c r="AB9" s="6"/>
      <c r="AC9" s="6"/>
      <c r="AD9" s="7"/>
      <c r="AE9" s="52"/>
      <c r="AG9" s="46"/>
    </row>
    <row r="10" spans="2:33" ht="15.75" x14ac:dyDescent="0.25">
      <c r="B10" s="5"/>
      <c r="C10" s="6"/>
      <c r="D10" s="6"/>
      <c r="E10" s="55"/>
      <c r="F10" s="6"/>
      <c r="G10" s="6"/>
      <c r="H10" s="6"/>
      <c r="I10" s="6"/>
      <c r="J10" s="6"/>
      <c r="K10" s="6"/>
      <c r="L10" s="6"/>
      <c r="M10" s="6"/>
      <c r="N10" s="6"/>
      <c r="O10" s="6"/>
      <c r="P10" s="51">
        <v>2</v>
      </c>
      <c r="Q10" s="50" t="s">
        <v>9</v>
      </c>
      <c r="R10" s="50" t="s">
        <v>15</v>
      </c>
      <c r="S10" s="50" t="s">
        <v>67</v>
      </c>
      <c r="T10" s="50" t="s">
        <v>7</v>
      </c>
      <c r="U10" s="50" t="s">
        <v>14</v>
      </c>
      <c r="V10" s="50" t="s">
        <v>16</v>
      </c>
      <c r="W10" s="50" t="s">
        <v>4</v>
      </c>
      <c r="X10" s="50" t="s">
        <v>13</v>
      </c>
      <c r="Y10" s="57" t="s">
        <v>9</v>
      </c>
      <c r="Z10" s="50" t="s">
        <v>4</v>
      </c>
      <c r="AA10" s="53" t="s">
        <v>12</v>
      </c>
      <c r="AB10" s="6"/>
      <c r="AC10" s="6"/>
      <c r="AD10" s="7"/>
      <c r="AE10" s="52"/>
      <c r="AG10" s="46"/>
    </row>
    <row r="11" spans="2:33" ht="15.75" x14ac:dyDescent="0.25">
      <c r="B11" s="5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56" t="s">
        <v>6</v>
      </c>
      <c r="S11" s="6"/>
      <c r="T11" s="6"/>
      <c r="U11" s="6"/>
      <c r="V11" s="6"/>
      <c r="W11" s="6"/>
      <c r="X11" s="6"/>
      <c r="Y11" s="6"/>
      <c r="Z11" s="50" t="s">
        <v>2</v>
      </c>
      <c r="AA11" s="6"/>
      <c r="AB11" s="6"/>
      <c r="AC11" s="6"/>
      <c r="AD11" s="7"/>
      <c r="AE11" s="52"/>
      <c r="AG11" s="46"/>
    </row>
    <row r="12" spans="2:33" ht="15.75" x14ac:dyDescent="0.25">
      <c r="B12" s="5"/>
      <c r="C12" s="55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50" t="s">
        <v>1</v>
      </c>
      <c r="S12" s="6"/>
      <c r="T12" s="51">
        <v>9</v>
      </c>
      <c r="U12" s="6"/>
      <c r="V12" s="6"/>
      <c r="W12" s="6"/>
      <c r="X12" s="6"/>
      <c r="Y12" s="6"/>
      <c r="Z12" s="54" t="s">
        <v>21</v>
      </c>
      <c r="AA12" s="6"/>
      <c r="AB12" s="6"/>
      <c r="AC12" s="6"/>
      <c r="AD12" s="7"/>
      <c r="AE12" s="52"/>
      <c r="AG12" s="46"/>
    </row>
    <row r="13" spans="2:33" ht="15.75" x14ac:dyDescent="0.25">
      <c r="B13" s="5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11" t="s">
        <v>16</v>
      </c>
      <c r="S13" s="6"/>
      <c r="T13" s="50" t="s">
        <v>1</v>
      </c>
      <c r="U13" s="6"/>
      <c r="V13" s="51">
        <v>5</v>
      </c>
      <c r="W13" s="50" t="s">
        <v>2</v>
      </c>
      <c r="X13" s="50" t="s">
        <v>6</v>
      </c>
      <c r="Y13" s="50" t="s">
        <v>7</v>
      </c>
      <c r="Z13" s="50" t="s">
        <v>12</v>
      </c>
      <c r="AA13" s="50" t="s">
        <v>2</v>
      </c>
      <c r="AB13" s="50" t="s">
        <v>2</v>
      </c>
      <c r="AC13" s="6"/>
      <c r="AD13" s="7"/>
      <c r="AE13" s="52"/>
      <c r="AG13" s="46"/>
    </row>
    <row r="14" spans="2:33" ht="15.75" x14ac:dyDescent="0.25">
      <c r="B14" s="5"/>
      <c r="C14" s="6"/>
      <c r="D14" s="6"/>
      <c r="E14" s="6"/>
      <c r="F14" s="6"/>
      <c r="G14" s="6"/>
      <c r="H14" s="6"/>
      <c r="I14" s="55"/>
      <c r="J14" s="6"/>
      <c r="K14" s="6"/>
      <c r="L14" s="6"/>
      <c r="M14" s="51">
        <v>10</v>
      </c>
      <c r="N14" s="6"/>
      <c r="O14" s="6"/>
      <c r="P14" s="6"/>
      <c r="Q14" s="6"/>
      <c r="R14" s="11" t="s">
        <v>15</v>
      </c>
      <c r="S14" s="6"/>
      <c r="T14" s="50" t="s">
        <v>9</v>
      </c>
      <c r="U14" s="6"/>
      <c r="V14" s="6"/>
      <c r="W14" s="6"/>
      <c r="X14" s="58">
        <v>8</v>
      </c>
      <c r="Y14" s="6"/>
      <c r="Z14" s="56" t="s">
        <v>0</v>
      </c>
      <c r="AA14" s="6"/>
      <c r="AB14" s="6"/>
      <c r="AC14" s="6"/>
      <c r="AD14" s="7"/>
      <c r="AE14" s="52"/>
      <c r="AG14" s="46"/>
    </row>
    <row r="15" spans="2:33" ht="15.75" x14ac:dyDescent="0.25">
      <c r="B15" s="5"/>
      <c r="C15" s="6"/>
      <c r="D15" s="6"/>
      <c r="E15" s="6"/>
      <c r="F15" s="6"/>
      <c r="G15" s="6"/>
      <c r="H15" s="6"/>
      <c r="I15" s="6"/>
      <c r="J15" s="6"/>
      <c r="K15" s="6"/>
      <c r="L15" s="6"/>
      <c r="M15" s="50" t="s">
        <v>6</v>
      </c>
      <c r="N15" s="6"/>
      <c r="O15" s="6"/>
      <c r="P15" s="6"/>
      <c r="Q15" s="6"/>
      <c r="R15" s="13" t="s">
        <v>20</v>
      </c>
      <c r="S15" s="6"/>
      <c r="T15" s="50" t="s">
        <v>6</v>
      </c>
      <c r="U15" s="6"/>
      <c r="V15" s="6"/>
      <c r="W15" s="6"/>
      <c r="X15" s="50" t="s">
        <v>3</v>
      </c>
      <c r="Y15" s="6"/>
      <c r="Z15" s="50" t="s">
        <v>14</v>
      </c>
      <c r="AA15" s="6"/>
      <c r="AB15" s="6"/>
      <c r="AC15" s="6"/>
      <c r="AD15" s="7"/>
      <c r="AE15" s="52"/>
      <c r="AG15" s="46"/>
    </row>
    <row r="16" spans="2:33" ht="15.75" x14ac:dyDescent="0.25">
      <c r="B16" s="5"/>
      <c r="C16" s="6"/>
      <c r="D16" s="55"/>
      <c r="E16" s="6"/>
      <c r="F16" s="6"/>
      <c r="G16" s="6"/>
      <c r="H16" s="6"/>
      <c r="I16" s="6"/>
      <c r="J16" s="51">
        <v>3</v>
      </c>
      <c r="K16" s="50" t="s">
        <v>19</v>
      </c>
      <c r="L16" s="57" t="s">
        <v>7</v>
      </c>
      <c r="M16" s="50" t="s">
        <v>12</v>
      </c>
      <c r="N16" s="53" t="s">
        <v>0</v>
      </c>
      <c r="O16" s="50" t="s">
        <v>5</v>
      </c>
      <c r="P16" s="50" t="s">
        <v>15</v>
      </c>
      <c r="Q16" s="50" t="s">
        <v>7</v>
      </c>
      <c r="R16" s="50" t="s">
        <v>1</v>
      </c>
      <c r="S16" s="57" t="s">
        <v>6</v>
      </c>
      <c r="T16" s="50" t="s">
        <v>12</v>
      </c>
      <c r="U16" s="53" t="s">
        <v>21</v>
      </c>
      <c r="V16" s="50" t="s">
        <v>18</v>
      </c>
      <c r="W16" s="57" t="s">
        <v>9</v>
      </c>
      <c r="X16" s="50" t="s">
        <v>4</v>
      </c>
      <c r="Y16" s="53" t="s">
        <v>12</v>
      </c>
      <c r="Z16" s="50" t="s">
        <v>68</v>
      </c>
      <c r="AA16" s="6"/>
      <c r="AB16" s="6"/>
      <c r="AC16" s="6"/>
      <c r="AD16" s="7"/>
      <c r="AE16" s="52"/>
      <c r="AG16" s="46"/>
    </row>
    <row r="17" spans="2:33" ht="15.75" x14ac:dyDescent="0.25">
      <c r="B17" s="5"/>
      <c r="C17" s="6"/>
      <c r="D17" s="6"/>
      <c r="E17" s="6"/>
      <c r="F17" s="6"/>
      <c r="G17" s="6"/>
      <c r="H17" s="6"/>
      <c r="I17" s="6"/>
      <c r="J17" s="6"/>
      <c r="K17" s="6"/>
      <c r="L17" s="6"/>
      <c r="M17" s="50" t="s">
        <v>2</v>
      </c>
      <c r="N17" s="55"/>
      <c r="O17" s="6"/>
      <c r="P17" s="6"/>
      <c r="Q17" s="6"/>
      <c r="R17" s="12" t="s">
        <v>17</v>
      </c>
      <c r="S17" s="6"/>
      <c r="T17" s="50" t="s">
        <v>7</v>
      </c>
      <c r="U17" s="6"/>
      <c r="V17" s="6"/>
      <c r="W17" s="6"/>
      <c r="X17" s="50" t="s">
        <v>8</v>
      </c>
      <c r="Y17" s="6"/>
      <c r="Z17" s="50" t="s">
        <v>69</v>
      </c>
      <c r="AA17" s="6"/>
      <c r="AB17" s="6"/>
      <c r="AC17" s="6"/>
      <c r="AD17" s="7"/>
      <c r="AE17" s="52"/>
      <c r="AG17" s="46"/>
    </row>
    <row r="18" spans="2:33" ht="15.75" x14ac:dyDescent="0.25">
      <c r="B18" s="63"/>
      <c r="C18" s="6"/>
      <c r="D18" s="6"/>
      <c r="E18" s="6"/>
      <c r="F18" s="6"/>
      <c r="G18" s="6"/>
      <c r="H18" s="6"/>
      <c r="I18" s="6"/>
      <c r="J18" s="6"/>
      <c r="K18" s="6"/>
      <c r="L18" s="6"/>
      <c r="M18" s="50" t="s">
        <v>6</v>
      </c>
      <c r="N18" s="6"/>
      <c r="O18" s="6"/>
      <c r="P18" s="6"/>
      <c r="Q18" s="6"/>
      <c r="R18" s="6"/>
      <c r="S18" s="6"/>
      <c r="T18" s="50" t="s">
        <v>10</v>
      </c>
      <c r="U18" s="6"/>
      <c r="V18" s="6"/>
      <c r="W18" s="6"/>
      <c r="X18" s="50" t="s">
        <v>19</v>
      </c>
      <c r="Y18" s="6"/>
      <c r="Z18" s="50" t="s">
        <v>12</v>
      </c>
      <c r="AA18" s="6"/>
      <c r="AB18" s="6"/>
      <c r="AC18" s="6"/>
      <c r="AD18" s="7"/>
      <c r="AE18" s="52"/>
      <c r="AG18" s="46"/>
    </row>
    <row r="19" spans="2:33" ht="15.75" x14ac:dyDescent="0.25">
      <c r="B19" s="5"/>
      <c r="C19" s="6"/>
      <c r="D19" s="6"/>
      <c r="E19" s="6"/>
      <c r="F19" s="6"/>
      <c r="G19" s="6"/>
      <c r="H19" s="6"/>
      <c r="I19" s="6"/>
      <c r="J19" s="6"/>
      <c r="K19" s="6"/>
      <c r="L19" s="6"/>
      <c r="M19" s="50" t="s">
        <v>1</v>
      </c>
      <c r="N19" s="6"/>
      <c r="O19" s="6"/>
      <c r="P19" s="6"/>
      <c r="Q19" s="6"/>
      <c r="R19" s="6"/>
      <c r="S19" s="6"/>
      <c r="T19" s="50" t="s">
        <v>12</v>
      </c>
      <c r="U19" s="6"/>
      <c r="V19" s="6"/>
      <c r="W19" s="6"/>
      <c r="X19" s="50" t="s">
        <v>21</v>
      </c>
      <c r="Y19" s="6"/>
      <c r="Z19" s="50" t="s">
        <v>12</v>
      </c>
      <c r="AA19" s="6"/>
      <c r="AB19" s="6"/>
      <c r="AC19" s="6"/>
      <c r="AD19" s="7"/>
      <c r="AE19" s="52"/>
    </row>
    <row r="20" spans="2:33" ht="15.75" x14ac:dyDescent="0.25">
      <c r="B20" s="5"/>
      <c r="C20" s="6"/>
      <c r="D20" s="6"/>
      <c r="E20" s="6"/>
      <c r="F20" s="6"/>
      <c r="G20" s="6"/>
      <c r="H20" s="6"/>
      <c r="I20" s="6"/>
      <c r="J20" s="6"/>
      <c r="K20" s="6"/>
      <c r="L20" s="6"/>
      <c r="M20" s="50" t="s">
        <v>7</v>
      </c>
      <c r="N20" s="6"/>
      <c r="O20" s="6"/>
      <c r="P20" s="6"/>
      <c r="Q20" s="6"/>
      <c r="R20" s="6"/>
      <c r="S20" s="6"/>
      <c r="T20" s="50" t="s">
        <v>11</v>
      </c>
      <c r="U20" s="6"/>
      <c r="V20" s="6"/>
      <c r="W20" s="6"/>
      <c r="X20" s="50" t="s">
        <v>12</v>
      </c>
      <c r="Y20" s="6"/>
      <c r="Z20" s="6"/>
      <c r="AA20" s="6"/>
      <c r="AB20" s="6"/>
      <c r="AC20" s="6"/>
      <c r="AD20" s="7"/>
      <c r="AE20" s="52"/>
    </row>
    <row r="21" spans="2:33" ht="15.75" x14ac:dyDescent="0.25">
      <c r="B21" s="5"/>
      <c r="C21" s="6"/>
      <c r="D21" s="6"/>
      <c r="E21" s="6"/>
      <c r="F21" s="6"/>
      <c r="G21" s="6"/>
      <c r="H21" s="6"/>
      <c r="I21" s="6"/>
      <c r="J21" s="6"/>
      <c r="K21" s="6"/>
      <c r="L21" s="6"/>
      <c r="M21" s="50" t="s">
        <v>4</v>
      </c>
      <c r="N21" s="6"/>
      <c r="O21" s="6"/>
      <c r="P21" s="6"/>
      <c r="Q21" s="6"/>
      <c r="R21" s="6"/>
      <c r="S21" s="6"/>
      <c r="T21" s="50" t="s">
        <v>2</v>
      </c>
      <c r="U21" s="6"/>
      <c r="V21" s="6"/>
      <c r="W21" s="6"/>
      <c r="X21" s="50" t="s">
        <v>3</v>
      </c>
      <c r="Y21" s="6"/>
      <c r="Z21" s="6"/>
      <c r="AA21" s="6"/>
      <c r="AB21" s="6"/>
      <c r="AC21" s="6"/>
      <c r="AD21" s="7"/>
    </row>
    <row r="22" spans="2:33" ht="15.75" x14ac:dyDescent="0.25">
      <c r="B22" s="5"/>
      <c r="C22" s="6"/>
      <c r="D22" s="6"/>
      <c r="E22" s="6"/>
      <c r="F22" s="6"/>
      <c r="G22" s="6"/>
      <c r="H22" s="6"/>
      <c r="I22" s="6"/>
      <c r="J22" s="6"/>
      <c r="K22" s="6"/>
      <c r="L22" s="6"/>
      <c r="M22" s="50" t="s">
        <v>5</v>
      </c>
      <c r="N22" s="6"/>
      <c r="O22" s="6"/>
      <c r="P22" s="6"/>
      <c r="Q22" s="6"/>
      <c r="R22" s="6"/>
      <c r="S22" s="6"/>
      <c r="T22" s="50" t="s">
        <v>9</v>
      </c>
      <c r="U22" s="6"/>
      <c r="V22" s="6"/>
      <c r="W22" s="6"/>
      <c r="X22" s="50" t="s">
        <v>2</v>
      </c>
      <c r="Y22" s="6"/>
      <c r="Z22" s="6"/>
      <c r="AA22" s="6"/>
      <c r="AB22" s="6"/>
      <c r="AC22" s="6"/>
      <c r="AD22" s="7"/>
    </row>
    <row r="23" spans="2:33" ht="15.75" x14ac:dyDescent="0.25">
      <c r="B23" s="5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50" t="s">
        <v>15</v>
      </c>
      <c r="N23" s="62"/>
      <c r="O23" s="62"/>
      <c r="P23" s="62"/>
      <c r="Q23" s="62"/>
      <c r="R23" s="62"/>
      <c r="S23" s="62"/>
      <c r="T23" s="50" t="s">
        <v>4</v>
      </c>
      <c r="U23" s="62"/>
      <c r="V23" s="62"/>
      <c r="W23" s="62"/>
      <c r="X23" s="50" t="s">
        <v>9</v>
      </c>
      <c r="Y23" s="62"/>
      <c r="Z23" s="62"/>
      <c r="AA23" s="62"/>
      <c r="AB23" s="62"/>
      <c r="AC23" s="62"/>
      <c r="AD23" s="7"/>
    </row>
    <row r="24" spans="2:33" ht="15.75" x14ac:dyDescent="0.25">
      <c r="B24" s="5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50" t="s">
        <v>9</v>
      </c>
      <c r="N24" s="62"/>
      <c r="O24" s="62"/>
      <c r="P24" s="62"/>
      <c r="Q24" s="62"/>
      <c r="R24" s="62"/>
      <c r="S24" s="62"/>
      <c r="T24" s="50" t="s">
        <v>12</v>
      </c>
      <c r="U24" s="62"/>
      <c r="V24" s="62"/>
      <c r="W24" s="62"/>
      <c r="X24" s="50" t="s">
        <v>4</v>
      </c>
      <c r="Y24" s="62"/>
      <c r="Z24" s="62"/>
      <c r="AA24" s="62"/>
      <c r="AB24" s="62"/>
      <c r="AC24" s="62"/>
      <c r="AD24" s="7"/>
    </row>
    <row r="25" spans="2:33" ht="15.75" x14ac:dyDescent="0.25">
      <c r="B25" s="5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50" t="s">
        <v>1</v>
      </c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50" t="s">
        <v>12</v>
      </c>
      <c r="Y25" s="62"/>
      <c r="Z25" s="62"/>
      <c r="AA25" s="62"/>
      <c r="AB25" s="62"/>
      <c r="AC25" s="62"/>
      <c r="AD25" s="7"/>
    </row>
    <row r="26" spans="2:33" ht="15.75" x14ac:dyDescent="0.25">
      <c r="B26" s="8"/>
      <c r="C26" s="9"/>
      <c r="D26" s="9"/>
      <c r="E26" s="9"/>
      <c r="F26" s="9"/>
      <c r="G26" s="9"/>
      <c r="H26" s="9"/>
      <c r="I26" s="9"/>
      <c r="J26" s="9"/>
      <c r="K26" s="9"/>
      <c r="L26" s="10"/>
      <c r="M26" s="50" t="s">
        <v>12</v>
      </c>
      <c r="N26" s="8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10"/>
    </row>
    <row r="29" spans="2:33" x14ac:dyDescent="0.25">
      <c r="B29" s="37"/>
      <c r="C29" s="38"/>
      <c r="D29" s="38"/>
      <c r="E29" s="38"/>
      <c r="F29" s="38"/>
      <c r="G29" s="38"/>
      <c r="H29" s="38"/>
      <c r="I29" s="39"/>
      <c r="T29" s="34"/>
      <c r="U29" s="30"/>
      <c r="V29" s="30"/>
      <c r="W29" s="30"/>
      <c r="X29" s="30"/>
      <c r="Y29" s="30"/>
      <c r="Z29" s="30"/>
      <c r="AA29" s="31"/>
    </row>
    <row r="30" spans="2:33" x14ac:dyDescent="0.25">
      <c r="B30" s="40"/>
      <c r="C30" s="41"/>
      <c r="D30" s="41"/>
      <c r="E30" s="41"/>
      <c r="F30" s="41"/>
      <c r="G30" s="41"/>
      <c r="H30" s="41"/>
      <c r="I30" s="42"/>
      <c r="T30" s="35"/>
      <c r="U30" s="28"/>
      <c r="V30" s="28"/>
      <c r="W30" s="28"/>
      <c r="X30" s="28"/>
      <c r="Y30" s="28"/>
      <c r="Z30" s="28"/>
      <c r="AA30" s="32"/>
    </row>
    <row r="31" spans="2:33" x14ac:dyDescent="0.25">
      <c r="B31" s="43"/>
      <c r="C31" s="44"/>
      <c r="D31" s="44"/>
      <c r="E31" s="44"/>
      <c r="F31" s="44"/>
      <c r="G31" s="44"/>
      <c r="H31" s="44"/>
      <c r="I31" s="45"/>
      <c r="T31" s="36"/>
      <c r="U31" s="29"/>
      <c r="V31" s="29"/>
      <c r="W31" s="29"/>
      <c r="X31" s="29"/>
      <c r="Y31" s="29"/>
      <c r="Z31" s="29"/>
      <c r="AA31" s="33"/>
    </row>
  </sheetData>
  <protectedRanges>
    <protectedRange sqref="C17:M17" name="Диапазон15"/>
    <protectedRange sqref="E15:L15" name="Диапазон14"/>
    <protectedRange sqref="U9:AE9" name="Диапазон13"/>
    <protectedRange sqref="U12:AB12" name="Диапазон12"/>
    <protectedRange sqref="U9:U20" name="Диапазон11"/>
    <protectedRange sqref="O16:Y16" name="Диапазон10"/>
    <protectedRange sqref="R12:R20" name="Диапазон9"/>
    <protectedRange sqref="J13:S13" name="Диапазон8"/>
    <protectedRange sqref="E10:E18" name="Диапазон7"/>
    <protectedRange sqref="D11:L11" name="Диапазон6"/>
    <protectedRange sqref="H8:K8" name="Диапазон5"/>
    <protectedRange sqref="M3:M10" name="Диапазон4"/>
    <protectedRange sqref="J4:J11" name="Диапазон3"/>
    <protectedRange sqref="P4:P14" name="Диапазон2"/>
    <protectedRange sqref="J4:P4" name="Диапазон1"/>
  </protectedRanges>
  <dataValidations count="1">
    <dataValidation type="textLength" allowBlank="1" showInputMessage="1" showErrorMessage="1" sqref="P6 M3:M10 P4:P14 J13:S13 R12:R20 O16:Y16 U9:U20 U9:AE9 V12:AB12 C17:M17 E10:E18 D11:L11 F15:L15 J4:J10 H8:K8 K4:P4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Проверка">
                <anchor moveWithCells="1" sizeWithCells="1">
                  <from>
                    <xdr:col>19</xdr:col>
                    <xdr:colOff>180975</xdr:colOff>
                    <xdr:row>28</xdr:row>
                    <xdr:rowOff>180975</xdr:rowOff>
                  </from>
                  <to>
                    <xdr:col>25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Сброс">
                <anchor moveWithCells="1" sizeWithCells="1">
                  <from>
                    <xdr:col>2</xdr:col>
                    <xdr:colOff>9525</xdr:colOff>
                    <xdr:row>29</xdr:row>
                    <xdr:rowOff>0</xdr:rowOff>
                  </from>
                  <to>
                    <xdr:col>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E18"/>
  <sheetViews>
    <sheetView topLeftCell="A10" zoomScaleNormal="100" workbookViewId="0">
      <selection activeCell="E9" sqref="E9"/>
    </sheetView>
  </sheetViews>
  <sheetFormatPr defaultRowHeight="15" x14ac:dyDescent="0.25"/>
  <sheetData>
    <row r="1" spans="1:5" x14ac:dyDescent="0.25">
      <c r="A1" s="19" t="s">
        <v>47</v>
      </c>
      <c r="B1" s="16"/>
      <c r="C1" s="16"/>
      <c r="D1" s="16"/>
      <c r="E1" s="16"/>
    </row>
    <row r="2" spans="1:5" x14ac:dyDescent="0.25">
      <c r="A2" s="19" t="s">
        <v>48</v>
      </c>
      <c r="B2" s="16"/>
      <c r="C2" s="16"/>
      <c r="D2" s="16"/>
      <c r="E2" s="16"/>
    </row>
    <row r="3" spans="1:5" x14ac:dyDescent="0.25">
      <c r="A3" s="19" t="s">
        <v>49</v>
      </c>
      <c r="B3" s="16"/>
      <c r="C3" s="16"/>
      <c r="D3" s="16"/>
      <c r="E3" s="16"/>
    </row>
    <row r="4" spans="1:5" x14ac:dyDescent="0.25">
      <c r="A4" s="19" t="s">
        <v>50</v>
      </c>
      <c r="B4" s="16"/>
      <c r="C4" s="16"/>
      <c r="D4" s="16"/>
      <c r="E4" s="16"/>
    </row>
    <row r="5" spans="1:5" x14ac:dyDescent="0.25">
      <c r="A5" s="19" t="s">
        <v>51</v>
      </c>
      <c r="B5" s="16"/>
      <c r="C5" s="16"/>
      <c r="D5" s="16"/>
      <c r="E5" s="16"/>
    </row>
    <row r="6" spans="1:5" x14ac:dyDescent="0.25">
      <c r="A6" s="19" t="s">
        <v>52</v>
      </c>
      <c r="B6" s="16"/>
      <c r="C6" s="16"/>
      <c r="D6" s="16"/>
      <c r="E6" s="16"/>
    </row>
    <row r="7" spans="1:5" x14ac:dyDescent="0.25">
      <c r="A7" s="19" t="s">
        <v>53</v>
      </c>
      <c r="B7" s="16"/>
      <c r="C7" s="16"/>
      <c r="D7" s="16"/>
      <c r="E7" s="16"/>
    </row>
    <row r="8" spans="1:5" x14ac:dyDescent="0.25">
      <c r="A8" s="19" t="s">
        <v>54</v>
      </c>
      <c r="B8" s="16"/>
      <c r="C8" s="16"/>
      <c r="D8" s="16"/>
      <c r="E8" s="16"/>
    </row>
    <row r="9" spans="1:5" x14ac:dyDescent="0.25">
      <c r="A9" s="19" t="s">
        <v>55</v>
      </c>
      <c r="B9" s="16"/>
      <c r="C9" s="16"/>
      <c r="D9" s="16"/>
      <c r="E9" s="16"/>
    </row>
    <row r="10" spans="1:5" x14ac:dyDescent="0.25">
      <c r="A10" s="19" t="s">
        <v>56</v>
      </c>
      <c r="B10" s="16"/>
      <c r="C10" s="16"/>
      <c r="D10" s="16"/>
      <c r="E10" s="16"/>
    </row>
    <row r="11" spans="1:5" x14ac:dyDescent="0.25">
      <c r="A11" s="19" t="s">
        <v>39</v>
      </c>
      <c r="B11" s="16"/>
      <c r="C11" s="16"/>
      <c r="D11" s="16"/>
      <c r="E11" s="16"/>
    </row>
    <row r="12" spans="1:5" x14ac:dyDescent="0.25">
      <c r="A12" s="19" t="s">
        <v>40</v>
      </c>
      <c r="B12" s="16"/>
      <c r="C12" s="16"/>
      <c r="D12" s="16"/>
      <c r="E12" s="16"/>
    </row>
    <row r="13" spans="1:5" x14ac:dyDescent="0.25">
      <c r="A13" s="19" t="s">
        <v>41</v>
      </c>
      <c r="B13" s="16"/>
      <c r="C13" s="16"/>
      <c r="D13" s="16"/>
      <c r="E13" s="16"/>
    </row>
    <row r="14" spans="1:5" x14ac:dyDescent="0.25">
      <c r="A14" s="19" t="s">
        <v>42</v>
      </c>
      <c r="B14" s="16"/>
      <c r="C14" s="16"/>
      <c r="D14" s="16"/>
      <c r="E14" s="16"/>
    </row>
    <row r="15" spans="1:5" x14ac:dyDescent="0.25">
      <c r="A15" s="19" t="s">
        <v>43</v>
      </c>
      <c r="B15" s="16"/>
      <c r="C15" s="16"/>
      <c r="D15" s="16"/>
      <c r="E15" s="16"/>
    </row>
    <row r="16" spans="1:5" x14ac:dyDescent="0.25">
      <c r="A16" s="16"/>
      <c r="B16" s="16"/>
      <c r="C16" s="16"/>
      <c r="D16" s="16"/>
      <c r="E16" s="16"/>
    </row>
    <row r="17" spans="1:5" x14ac:dyDescent="0.25">
      <c r="A17" s="16"/>
      <c r="B17" s="16"/>
      <c r="C17" s="16"/>
      <c r="D17" s="16"/>
      <c r="E17" s="16"/>
    </row>
    <row r="18" spans="1:5" x14ac:dyDescent="0.25">
      <c r="A18" s="16"/>
      <c r="B18" s="16"/>
      <c r="C18" s="16"/>
      <c r="D18" s="16"/>
      <c r="E18" s="16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2:BD32"/>
  <sheetViews>
    <sheetView tabSelected="1" topLeftCell="B7" zoomScale="98" zoomScaleNormal="98" workbookViewId="0">
      <selection activeCell="AF10" sqref="AF10"/>
    </sheetView>
  </sheetViews>
  <sheetFormatPr defaultRowHeight="15" x14ac:dyDescent="0.25"/>
  <cols>
    <col min="2" max="2" width="5" bestFit="1" customWidth="1"/>
    <col min="3" max="5" width="3.5703125" bestFit="1" customWidth="1"/>
    <col min="6" max="6" width="2.42578125" bestFit="1" customWidth="1"/>
    <col min="7" max="7" width="3.5703125" bestFit="1" customWidth="1"/>
    <col min="8" max="8" width="2.7109375" bestFit="1" customWidth="1"/>
    <col min="9" max="10" width="3.5703125" bestFit="1" customWidth="1"/>
    <col min="11" max="11" width="2.85546875" bestFit="1" customWidth="1"/>
    <col min="12" max="12" width="2.5703125" bestFit="1" customWidth="1"/>
    <col min="13" max="14" width="3.5703125" bestFit="1" customWidth="1"/>
    <col min="15" max="15" width="2.42578125" bestFit="1" customWidth="1"/>
    <col min="16" max="16" width="3.5703125" bestFit="1" customWidth="1"/>
    <col min="17" max="17" width="2.42578125" bestFit="1" customWidth="1"/>
    <col min="18" max="18" width="3.5703125" bestFit="1" customWidth="1"/>
    <col min="19" max="19" width="2.42578125" bestFit="1" customWidth="1"/>
    <col min="20" max="20" width="5" bestFit="1" customWidth="1"/>
    <col min="21" max="21" width="3.5703125" bestFit="1" customWidth="1"/>
    <col min="22" max="22" width="2.7109375" bestFit="1" customWidth="1"/>
    <col min="23" max="25" width="2.5703125" bestFit="1" customWidth="1"/>
    <col min="26" max="26" width="2.42578125" bestFit="1" customWidth="1"/>
    <col min="27" max="27" width="2.5703125" bestFit="1" customWidth="1"/>
    <col min="28" max="31" width="2.42578125" bestFit="1" customWidth="1"/>
    <col min="33" max="33" width="10.5703125" bestFit="1" customWidth="1"/>
    <col min="37" max="37" width="20.28515625" bestFit="1" customWidth="1"/>
    <col min="38" max="38" width="21.42578125" customWidth="1"/>
  </cols>
  <sheetData>
    <row r="2" spans="1:56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</row>
    <row r="3" spans="1:56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</row>
    <row r="4" spans="1:56" ht="15.75" x14ac:dyDescent="0.25">
      <c r="A4" s="16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6"/>
      <c r="AG4" s="16"/>
      <c r="AH4" s="16"/>
      <c r="AI4" s="16"/>
    </row>
    <row r="5" spans="1:56" ht="15.75" x14ac:dyDescent="0.25">
      <c r="A5" s="16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6"/>
      <c r="AG5" s="16"/>
      <c r="AH5" s="16"/>
      <c r="AI5" s="16"/>
    </row>
    <row r="6" spans="1:56" ht="15.75" x14ac:dyDescent="0.25">
      <c r="A6" s="16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6"/>
      <c r="AG6" s="16"/>
      <c r="AH6" s="16"/>
      <c r="AI6" s="16"/>
    </row>
    <row r="7" spans="1:56" ht="15.75" x14ac:dyDescent="0.25">
      <c r="A7" s="16"/>
      <c r="B7" s="2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4"/>
      <c r="AE7" s="52"/>
      <c r="AF7" s="16"/>
      <c r="AG7" s="16"/>
      <c r="AH7" s="16"/>
      <c r="AI7" s="16"/>
      <c r="AJ7" s="16"/>
      <c r="AK7" s="16"/>
      <c r="AL7" s="16"/>
      <c r="AM7" s="16"/>
    </row>
    <row r="8" spans="1:56" ht="15.75" x14ac:dyDescent="0.25">
      <c r="A8" s="16"/>
      <c r="B8" s="5"/>
      <c r="C8" s="6"/>
      <c r="D8" s="6"/>
      <c r="E8" s="6"/>
      <c r="F8" s="6"/>
      <c r="G8" s="6"/>
      <c r="H8" s="6"/>
      <c r="I8" s="6"/>
      <c r="J8" s="6"/>
      <c r="K8" s="6"/>
      <c r="L8" s="6"/>
      <c r="M8" s="55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7"/>
      <c r="AE8" s="52"/>
      <c r="AF8" s="16"/>
      <c r="AG8" s="16"/>
      <c r="AH8" s="16"/>
      <c r="AI8" s="16"/>
      <c r="AJ8" s="16"/>
      <c r="AK8" s="16"/>
      <c r="AL8" s="16"/>
      <c r="AM8" s="16"/>
    </row>
    <row r="9" spans="1:56" ht="15.75" x14ac:dyDescent="0.25">
      <c r="A9" s="16"/>
      <c r="B9" s="5"/>
      <c r="C9" s="6"/>
      <c r="D9" s="6"/>
      <c r="E9" s="6"/>
      <c r="F9" s="6"/>
      <c r="G9" s="6"/>
      <c r="H9" s="6"/>
      <c r="I9" s="6"/>
      <c r="J9" s="55"/>
      <c r="K9" s="6"/>
      <c r="L9" s="6"/>
      <c r="M9" s="6"/>
      <c r="N9" s="6"/>
      <c r="O9" s="6"/>
      <c r="P9" s="55"/>
      <c r="Q9" s="6"/>
      <c r="R9" s="51">
        <v>6</v>
      </c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7"/>
      <c r="AE9" s="52"/>
      <c r="AF9" s="16"/>
      <c r="AG9" s="49" t="s">
        <v>38</v>
      </c>
      <c r="AH9" s="49"/>
      <c r="AI9" s="16"/>
      <c r="AJ9" s="16"/>
      <c r="AK9" s="16"/>
      <c r="AL9" s="16"/>
      <c r="AM9" s="16"/>
    </row>
    <row r="10" spans="1:56" ht="15.75" x14ac:dyDescent="0.25">
      <c r="A10" s="16"/>
      <c r="B10" s="5"/>
      <c r="C10" s="6"/>
      <c r="D10" s="6"/>
      <c r="E10" s="6"/>
      <c r="F10" s="6"/>
      <c r="G10" s="6"/>
      <c r="H10" s="6"/>
      <c r="I10" s="14">
        <v>1</v>
      </c>
      <c r="J10" s="11" t="s">
        <v>66</v>
      </c>
      <c r="K10" s="11" t="s">
        <v>12</v>
      </c>
      <c r="L10" s="11" t="s">
        <v>2</v>
      </c>
      <c r="M10" s="11" t="s">
        <v>6</v>
      </c>
      <c r="N10" s="11" t="s">
        <v>1</v>
      </c>
      <c r="O10" s="11" t="s">
        <v>7</v>
      </c>
      <c r="P10" s="11" t="s">
        <v>4</v>
      </c>
      <c r="Q10" s="50" t="s">
        <v>5</v>
      </c>
      <c r="R10" s="54" t="s">
        <v>15</v>
      </c>
      <c r="S10" s="54" t="s">
        <v>9</v>
      </c>
      <c r="T10" s="54" t="s">
        <v>1</v>
      </c>
      <c r="U10" s="54" t="s">
        <v>12</v>
      </c>
      <c r="V10" s="6"/>
      <c r="W10" s="6"/>
      <c r="X10" s="6"/>
      <c r="Y10" s="6"/>
      <c r="Z10" s="6"/>
      <c r="AA10" s="6"/>
      <c r="AB10" s="6"/>
      <c r="AC10" s="6"/>
      <c r="AD10" s="7"/>
      <c r="AE10" s="52"/>
      <c r="AF10" s="16"/>
      <c r="AG10" s="17" t="s">
        <v>22</v>
      </c>
      <c r="AH10" s="17" t="s">
        <v>23</v>
      </c>
      <c r="AI10" s="16"/>
      <c r="AJ10" s="48" t="s">
        <v>44</v>
      </c>
      <c r="AK10" s="48"/>
      <c r="AL10" s="18" t="s">
        <v>45</v>
      </c>
      <c r="AM10" s="16"/>
    </row>
    <row r="11" spans="1:56" ht="15.75" x14ac:dyDescent="0.25">
      <c r="A11" s="16"/>
      <c r="B11" s="5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51">
        <v>4</v>
      </c>
      <c r="R11" s="50" t="s">
        <v>5</v>
      </c>
      <c r="S11" s="50" t="s">
        <v>12</v>
      </c>
      <c r="T11" s="50" t="s">
        <v>7</v>
      </c>
      <c r="U11" s="50" t="s">
        <v>1</v>
      </c>
      <c r="V11" s="50" t="s">
        <v>10</v>
      </c>
      <c r="W11" s="50" t="s">
        <v>1</v>
      </c>
      <c r="X11" s="50" t="s">
        <v>3</v>
      </c>
      <c r="Y11" s="50" t="s">
        <v>15</v>
      </c>
      <c r="Z11" s="50" t="s">
        <v>20</v>
      </c>
      <c r="AA11" s="50" t="s">
        <v>1</v>
      </c>
      <c r="AB11" s="50" t="s">
        <v>17</v>
      </c>
      <c r="AC11" s="6"/>
      <c r="AD11" s="7"/>
      <c r="AE11" s="52"/>
      <c r="AF11" s="16"/>
      <c r="AG11" s="21">
        <v>10</v>
      </c>
      <c r="AH11" s="21">
        <v>5</v>
      </c>
      <c r="AI11" s="16"/>
      <c r="AJ11" s="18" t="s">
        <v>28</v>
      </c>
      <c r="AK11" s="20" t="s">
        <v>57</v>
      </c>
      <c r="AL11" s="25" t="str">
        <f>LOWER(CONCATENATE(Кроссворд!J5,Кроссворд!K5,Кроссворд!L5,Кроссворд!M5,Кроссворд!N5,Кроссворд!O5,Кроссворд!P5,Кроссворд!Q5,Кроссворд!R5,Кроссворд!S5,Кроссворд!T5,Кроссворд!U5))</f>
        <v>тестирование</v>
      </c>
      <c r="AM11" s="16"/>
    </row>
    <row r="12" spans="1:56" ht="15.75" x14ac:dyDescent="0.25">
      <c r="A12" s="16"/>
      <c r="B12" s="5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56" t="s">
        <v>6</v>
      </c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7"/>
      <c r="AE12" s="52"/>
      <c r="AF12" s="16"/>
      <c r="AG12" s="22" t="s">
        <v>26</v>
      </c>
      <c r="AH12" s="21">
        <v>4</v>
      </c>
      <c r="AI12" s="16"/>
      <c r="AJ12" s="18" t="s">
        <v>29</v>
      </c>
      <c r="AK12" s="20" t="s">
        <v>58</v>
      </c>
      <c r="AL12" s="25" t="str">
        <f>LOWER(CONCATENATE(Кроссворд!Q10,Кроссворд!R10,Кроссворд!S10,Кроссворд!T10,Кроссворд!U10,Кроссворд!V10,Кроссворд!W10,Кроссворд!X10,Кроссворд!Y10,Кроссворд!Z10,Кроссворд!AA10))</f>
        <v>нагрузочное</v>
      </c>
      <c r="AM12" s="16"/>
    </row>
    <row r="13" spans="1:56" ht="15.75" x14ac:dyDescent="0.25">
      <c r="A13" s="16"/>
      <c r="B13" s="5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50" t="s">
        <v>4</v>
      </c>
      <c r="S13" s="6"/>
      <c r="T13" s="6"/>
      <c r="U13" s="6"/>
      <c r="V13" s="6"/>
      <c r="W13" s="6"/>
      <c r="X13" s="6"/>
      <c r="Y13" s="6"/>
      <c r="Z13" s="51">
        <v>7</v>
      </c>
      <c r="AA13" s="6"/>
      <c r="AB13" s="6"/>
      <c r="AC13" s="6"/>
      <c r="AD13" s="7"/>
      <c r="AE13" s="52"/>
      <c r="AF13" s="16"/>
      <c r="AG13" s="22" t="s">
        <v>27</v>
      </c>
      <c r="AH13" s="21">
        <v>3</v>
      </c>
      <c r="AI13" s="16"/>
      <c r="AJ13" s="18" t="s">
        <v>30</v>
      </c>
      <c r="AK13" s="20" t="s">
        <v>59</v>
      </c>
      <c r="AL13" s="25" t="str">
        <f>LOWER(CONCATENATE(Кроссворд!K16,Кроссворд!L16,Кроссворд!M16,Кроссворд!N16,Кроссворд!O16,Кроссворд!P16,Кроссворд!Q16,Кроссворд!R16,Кроссворд!S16,Кроссворд!T16,Кроссворд!U16,Кроссворд!V16,Кроссворд!W16,Кроссворд!X16,Кроссворд!Y16))</f>
        <v>предварительное</v>
      </c>
      <c r="AM13" s="16"/>
    </row>
    <row r="14" spans="1:56" ht="15.75" x14ac:dyDescent="0.25">
      <c r="A14" s="16"/>
      <c r="B14" s="5"/>
      <c r="C14" s="6"/>
      <c r="D14" s="6"/>
      <c r="E14" s="6"/>
      <c r="F14" s="6"/>
      <c r="G14" s="55"/>
      <c r="H14" s="6"/>
      <c r="I14" s="6"/>
      <c r="J14" s="6"/>
      <c r="K14" s="6"/>
      <c r="L14" s="6"/>
      <c r="M14" s="6"/>
      <c r="N14" s="6"/>
      <c r="O14" s="6"/>
      <c r="P14" s="6"/>
      <c r="Q14" s="6"/>
      <c r="R14" s="54" t="s">
        <v>8</v>
      </c>
      <c r="S14" s="6"/>
      <c r="T14" s="6"/>
      <c r="U14" s="55"/>
      <c r="V14" s="6"/>
      <c r="W14" s="6"/>
      <c r="X14" s="6"/>
      <c r="Y14" s="6"/>
      <c r="Z14" s="50" t="s">
        <v>19</v>
      </c>
      <c r="AA14" s="6"/>
      <c r="AB14" s="6"/>
      <c r="AC14" s="6"/>
      <c r="AD14" s="7"/>
      <c r="AE14" s="52"/>
      <c r="AF14" s="16"/>
      <c r="AG14" s="23" t="s">
        <v>24</v>
      </c>
      <c r="AH14" s="21">
        <v>2</v>
      </c>
      <c r="AI14" s="16"/>
      <c r="AJ14" s="18" t="s">
        <v>31</v>
      </c>
      <c r="AK14" s="20" t="s">
        <v>60</v>
      </c>
      <c r="AL14" s="25" t="str">
        <f>LOWER(CONCATENATE(Кроссворд!R6,Кроссворд!S6,Кроссворд!T6,Кроссворд!U6,Кроссворд!V6,Кроссворд!W6,Кроссворд!X6,Кроссворд!Y6,Кроссворд!Z6,Кроссворд!AA6,Кроссворд!AB6))</f>
        <v>верификация</v>
      </c>
      <c r="AM14" s="16"/>
      <c r="BC14" s="27"/>
      <c r="BD14" s="15" t="s">
        <v>46</v>
      </c>
    </row>
    <row r="15" spans="1:56" ht="15.75" x14ac:dyDescent="0.25">
      <c r="A15" s="16"/>
      <c r="B15" s="5"/>
      <c r="C15" s="6"/>
      <c r="D15" s="6"/>
      <c r="E15" s="55"/>
      <c r="F15" s="6"/>
      <c r="G15" s="6"/>
      <c r="H15" s="6"/>
      <c r="I15" s="6"/>
      <c r="J15" s="6"/>
      <c r="K15" s="6"/>
      <c r="L15" s="6"/>
      <c r="M15" s="6"/>
      <c r="N15" s="6"/>
      <c r="O15" s="6"/>
      <c r="P15" s="51">
        <v>2</v>
      </c>
      <c r="Q15" s="50" t="s">
        <v>9</v>
      </c>
      <c r="R15" s="50" t="s">
        <v>15</v>
      </c>
      <c r="S15" s="50" t="s">
        <v>67</v>
      </c>
      <c r="T15" s="50" t="s">
        <v>7</v>
      </c>
      <c r="U15" s="50" t="s">
        <v>14</v>
      </c>
      <c r="V15" s="50" t="s">
        <v>16</v>
      </c>
      <c r="W15" s="50" t="s">
        <v>4</v>
      </c>
      <c r="X15" s="50" t="s">
        <v>13</v>
      </c>
      <c r="Y15" s="57" t="s">
        <v>9</v>
      </c>
      <c r="Z15" s="50" t="s">
        <v>4</v>
      </c>
      <c r="AA15" s="53" t="s">
        <v>12</v>
      </c>
      <c r="AB15" s="6"/>
      <c r="AC15" s="6"/>
      <c r="AD15" s="7"/>
      <c r="AE15" s="52"/>
      <c r="AF15" s="16"/>
      <c r="AG15" s="16"/>
      <c r="AH15" s="16"/>
      <c r="AI15" s="16"/>
      <c r="AJ15" s="18" t="s">
        <v>32</v>
      </c>
      <c r="AK15" s="20" t="s">
        <v>61</v>
      </c>
      <c r="AL15" s="25" t="str">
        <f>LOWER(CONCATENATE(Кроссворд!W13,Кроссворд!X13,Кроссворд!Y13,Кроссворд!Z13,Кроссворд!AA13,Кроссворд!AB13))</f>
        <v>стресс</v>
      </c>
      <c r="AM15" s="16"/>
      <c r="BC15" s="27">
        <v>1</v>
      </c>
      <c r="BD15" s="26">
        <f>IF(AK11=AL11,1,0)</f>
        <v>1</v>
      </c>
    </row>
    <row r="16" spans="1:56" ht="15.75" x14ac:dyDescent="0.25">
      <c r="A16" s="16"/>
      <c r="B16" s="5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56" t="s">
        <v>6</v>
      </c>
      <c r="S16" s="6"/>
      <c r="T16" s="6"/>
      <c r="U16" s="6"/>
      <c r="V16" s="6"/>
      <c r="W16" s="6"/>
      <c r="X16" s="6"/>
      <c r="Y16" s="6"/>
      <c r="Z16" s="50" t="s">
        <v>2</v>
      </c>
      <c r="AA16" s="6"/>
      <c r="AB16" s="6"/>
      <c r="AC16" s="6"/>
      <c r="AD16" s="7"/>
      <c r="AE16" s="52"/>
      <c r="AF16" s="16"/>
      <c r="AG16" s="48" t="s">
        <v>25</v>
      </c>
      <c r="AH16" s="48"/>
      <c r="AI16" s="16"/>
      <c r="AJ16" s="18" t="s">
        <v>33</v>
      </c>
      <c r="AK16" s="20" t="s">
        <v>62</v>
      </c>
      <c r="AL16" s="25" t="str">
        <f>LOWER(CONCATENATE(Кроссворд!R5,Кроссворд!R6,Кроссворд!R7,Кроссворд!R8,Кроссворд!R9,Кроссворд!R10,Кроссворд!R11,Кроссворд!R12,Кроссворд!R13,Кроссворд!R14,Кроссворд!R15,Кроссворд!R16,Кроссворд!R17))</f>
        <v>автоматизация</v>
      </c>
      <c r="AM16" s="16"/>
      <c r="BC16" s="27">
        <v>2</v>
      </c>
      <c r="BD16" s="26">
        <f t="shared" ref="BD16:BD28" si="0">IF(AK12=AL12,1,0)</f>
        <v>1</v>
      </c>
    </row>
    <row r="17" spans="1:56" ht="15.75" x14ac:dyDescent="0.25">
      <c r="A17" s="16"/>
      <c r="B17" s="5"/>
      <c r="C17" s="55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50" t="s">
        <v>1</v>
      </c>
      <c r="S17" s="6"/>
      <c r="T17" s="51">
        <v>9</v>
      </c>
      <c r="U17" s="6"/>
      <c r="V17" s="6"/>
      <c r="W17" s="6"/>
      <c r="X17" s="6"/>
      <c r="Y17" s="6"/>
      <c r="Z17" s="54" t="s">
        <v>21</v>
      </c>
      <c r="AA17" s="6"/>
      <c r="AB17" s="6"/>
      <c r="AC17" s="6"/>
      <c r="AD17" s="7"/>
      <c r="AE17" s="52"/>
      <c r="AF17" s="16"/>
      <c r="AG17" s="24" t="s">
        <v>22</v>
      </c>
      <c r="AH17" s="24">
        <f>SUM(BD15:BD29)</f>
        <v>15</v>
      </c>
      <c r="AI17" s="16"/>
      <c r="AJ17" s="18" t="s">
        <v>34</v>
      </c>
      <c r="AK17" s="20" t="s">
        <v>63</v>
      </c>
      <c r="AL17" s="25" t="str">
        <f>LOWER(CONCATENATE(Кроссворд!Z9,Кроссворд!Z10,Кроссворд!Z11,Кроссворд!Z12,Кроссворд!Z13,Кроссворд!Z14,Кроссворд!Z15,Кроссворд!Z16,Кроссворд!Z17,Кроссворд!Z18,Кроссворд!Z19))</f>
        <v>последующее</v>
      </c>
      <c r="AM17" s="16"/>
      <c r="BC17" s="27">
        <v>3</v>
      </c>
      <c r="BD17" s="26">
        <f t="shared" si="0"/>
        <v>1</v>
      </c>
    </row>
    <row r="18" spans="1:56" ht="15.75" x14ac:dyDescent="0.25">
      <c r="A18" s="16"/>
      <c r="B18" s="5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11" t="s">
        <v>16</v>
      </c>
      <c r="S18" s="6"/>
      <c r="T18" s="50" t="s">
        <v>1</v>
      </c>
      <c r="U18" s="6"/>
      <c r="V18" s="51">
        <v>5</v>
      </c>
      <c r="W18" s="50" t="s">
        <v>2</v>
      </c>
      <c r="X18" s="50" t="s">
        <v>6</v>
      </c>
      <c r="Y18" s="50" t="s">
        <v>7</v>
      </c>
      <c r="Z18" s="50" t="s">
        <v>12</v>
      </c>
      <c r="AA18" s="50" t="s">
        <v>2</v>
      </c>
      <c r="AB18" s="50" t="s">
        <v>2</v>
      </c>
      <c r="AC18" s="6"/>
      <c r="AD18" s="7"/>
      <c r="AE18" s="52"/>
      <c r="AF18" s="16"/>
      <c r="AG18" s="24" t="s">
        <v>23</v>
      </c>
      <c r="AH18" s="24">
        <f>IF(AH17=15,5,IF(AND(AH17&lt;15,AH17&gt;7),4,IF(AND(AH17&lt;8,AH17&gt;4),3,2)))</f>
        <v>5</v>
      </c>
      <c r="AI18" s="16"/>
      <c r="AJ18" s="18" t="s">
        <v>35</v>
      </c>
      <c r="AK18" s="20" t="s">
        <v>64</v>
      </c>
      <c r="AL18" s="25" t="str">
        <f>LOWER(CONCATENATE(Кроссворд!X15,Кроссворд!X16,Кроссворд!X17,Кроссворд!X18,Кроссворд!X19,Кроссворд!X20,Кроссворд!X21,Кроссворд!X22,Кроссворд!X23,Кроссворд!X24,Кроссворд!X25))</f>
        <v>комплексное</v>
      </c>
      <c r="AM18" s="16"/>
      <c r="BC18" s="27">
        <v>4</v>
      </c>
      <c r="BD18" s="26">
        <f>IF(AK14=AL14,1,0)</f>
        <v>1</v>
      </c>
    </row>
    <row r="19" spans="1:56" ht="15.75" x14ac:dyDescent="0.25">
      <c r="A19" s="16"/>
      <c r="B19" s="5"/>
      <c r="C19" s="6"/>
      <c r="D19" s="6"/>
      <c r="E19" s="6"/>
      <c r="F19" s="6"/>
      <c r="G19" s="6"/>
      <c r="H19" s="6"/>
      <c r="I19" s="55"/>
      <c r="J19" s="6"/>
      <c r="K19" s="6"/>
      <c r="L19" s="6"/>
      <c r="M19" s="51">
        <v>10</v>
      </c>
      <c r="N19" s="6"/>
      <c r="O19" s="6"/>
      <c r="P19" s="6"/>
      <c r="Q19" s="6"/>
      <c r="R19" s="11" t="s">
        <v>15</v>
      </c>
      <c r="S19" s="6"/>
      <c r="T19" s="50" t="s">
        <v>9</v>
      </c>
      <c r="U19" s="6"/>
      <c r="V19" s="6"/>
      <c r="W19" s="6"/>
      <c r="X19" s="58">
        <v>8</v>
      </c>
      <c r="Y19" s="6"/>
      <c r="Z19" s="56" t="s">
        <v>0</v>
      </c>
      <c r="AA19" s="6"/>
      <c r="AB19" s="6"/>
      <c r="AC19" s="6"/>
      <c r="AD19" s="7"/>
      <c r="AE19" s="52"/>
      <c r="AF19" s="16"/>
      <c r="AG19" s="16"/>
      <c r="AH19" s="16"/>
      <c r="AI19" s="16"/>
      <c r="AJ19" s="18" t="s">
        <v>36</v>
      </c>
      <c r="AK19" s="20" t="s">
        <v>65</v>
      </c>
      <c r="AL19" s="25" t="str">
        <f>LOWER(CONCATENATE(Кроссворд!T13,Кроссворд!T14,Кроссворд!T15,Кроссворд!T16,Кроссворд!T17,Кроссворд!T18,Кроссворд!T19,Кроссворд!T20,Кроссворд!T21,Кроссворд!T22,Кроссворд!T23,Кроссворд!T24))</f>
        <v>интерфейсное</v>
      </c>
      <c r="AM19" s="16"/>
      <c r="BC19" s="27">
        <v>5</v>
      </c>
      <c r="BD19" s="26">
        <f t="shared" si="0"/>
        <v>1</v>
      </c>
    </row>
    <row r="20" spans="1:56" ht="15.75" x14ac:dyDescent="0.25">
      <c r="A20" s="16"/>
      <c r="B20" s="5"/>
      <c r="C20" s="6"/>
      <c r="D20" s="6"/>
      <c r="E20" s="6"/>
      <c r="F20" s="6"/>
      <c r="G20" s="6"/>
      <c r="H20" s="6"/>
      <c r="I20" s="6"/>
      <c r="J20" s="6"/>
      <c r="K20" s="6"/>
      <c r="L20" s="6"/>
      <c r="M20" s="50" t="s">
        <v>6</v>
      </c>
      <c r="N20" s="6"/>
      <c r="O20" s="6"/>
      <c r="P20" s="6"/>
      <c r="Q20" s="6"/>
      <c r="R20" s="13" t="s">
        <v>20</v>
      </c>
      <c r="S20" s="6"/>
      <c r="T20" s="50" t="s">
        <v>6</v>
      </c>
      <c r="U20" s="6"/>
      <c r="V20" s="6"/>
      <c r="W20" s="6"/>
      <c r="X20" s="50" t="s">
        <v>3</v>
      </c>
      <c r="Y20" s="6"/>
      <c r="Z20" s="50" t="s">
        <v>14</v>
      </c>
      <c r="AA20" s="6"/>
      <c r="AB20" s="6"/>
      <c r="AC20" s="6"/>
      <c r="AD20" s="7"/>
      <c r="AE20" s="52"/>
      <c r="AF20" s="16"/>
      <c r="AG20" s="16"/>
      <c r="AH20" s="16"/>
      <c r="AI20" s="16"/>
      <c r="AJ20" s="47" t="s">
        <v>37</v>
      </c>
      <c r="AK20" s="20" t="s">
        <v>57</v>
      </c>
      <c r="AL20" s="25" t="str">
        <f>LOWER(CONCATENATE(Кроссворд!M15,Кроссворд!M16,Кроссворд!M17,Кроссворд!M18,Кроссворд!M19,Кроссворд!M20,Кроссворд!M21,Кроссворд!M22,Кроссворд!M23,Кроссворд!M24,Кроссворд!M25,Кроссворд!M26))</f>
        <v>тестирование</v>
      </c>
      <c r="AM20" s="16"/>
      <c r="BC20" s="27">
        <v>6</v>
      </c>
      <c r="BD20" s="26">
        <f t="shared" si="0"/>
        <v>1</v>
      </c>
    </row>
    <row r="21" spans="1:56" ht="15.75" x14ac:dyDescent="0.25">
      <c r="A21" s="16"/>
      <c r="B21" s="5"/>
      <c r="C21" s="6"/>
      <c r="D21" s="55"/>
      <c r="E21" s="6"/>
      <c r="F21" s="6"/>
      <c r="G21" s="6"/>
      <c r="H21" s="6"/>
      <c r="I21" s="6"/>
      <c r="J21" s="51">
        <v>3</v>
      </c>
      <c r="K21" s="50" t="s">
        <v>19</v>
      </c>
      <c r="L21" s="57" t="s">
        <v>7</v>
      </c>
      <c r="M21" s="50" t="s">
        <v>12</v>
      </c>
      <c r="N21" s="53" t="s">
        <v>0</v>
      </c>
      <c r="O21" s="50" t="s">
        <v>5</v>
      </c>
      <c r="P21" s="50" t="s">
        <v>15</v>
      </c>
      <c r="Q21" s="50" t="s">
        <v>7</v>
      </c>
      <c r="R21" s="50" t="s">
        <v>1</v>
      </c>
      <c r="S21" s="57" t="s">
        <v>6</v>
      </c>
      <c r="T21" s="50" t="s">
        <v>12</v>
      </c>
      <c r="U21" s="53" t="s">
        <v>21</v>
      </c>
      <c r="V21" s="50" t="s">
        <v>18</v>
      </c>
      <c r="W21" s="57" t="s">
        <v>9</v>
      </c>
      <c r="X21" s="50" t="s">
        <v>4</v>
      </c>
      <c r="Y21" s="53" t="s">
        <v>12</v>
      </c>
      <c r="Z21" s="50" t="s">
        <v>68</v>
      </c>
      <c r="AA21" s="6"/>
      <c r="AB21" s="6"/>
      <c r="AC21" s="6"/>
      <c r="AD21" s="7"/>
      <c r="AE21" s="52"/>
      <c r="AF21" s="16"/>
      <c r="AG21" s="16"/>
      <c r="AH21" s="16"/>
      <c r="AI21" s="16"/>
      <c r="AJ21" s="59"/>
      <c r="AK21" s="60"/>
      <c r="AL21" s="61"/>
      <c r="AM21" s="16"/>
      <c r="BC21" s="27">
        <v>7</v>
      </c>
      <c r="BD21" s="26">
        <f>IF(AK17=AL17,1,0)</f>
        <v>1</v>
      </c>
    </row>
    <row r="22" spans="1:56" ht="15.75" x14ac:dyDescent="0.25">
      <c r="A22" s="16"/>
      <c r="B22" s="5"/>
      <c r="C22" s="6"/>
      <c r="D22" s="6"/>
      <c r="E22" s="6"/>
      <c r="F22" s="6"/>
      <c r="G22" s="6"/>
      <c r="H22" s="6"/>
      <c r="I22" s="6"/>
      <c r="J22" s="6"/>
      <c r="K22" s="6"/>
      <c r="L22" s="6"/>
      <c r="M22" s="50" t="s">
        <v>2</v>
      </c>
      <c r="N22" s="55"/>
      <c r="O22" s="6"/>
      <c r="P22" s="6"/>
      <c r="Q22" s="6"/>
      <c r="R22" s="12" t="s">
        <v>17</v>
      </c>
      <c r="S22" s="6"/>
      <c r="T22" s="50" t="s">
        <v>7</v>
      </c>
      <c r="U22" s="6"/>
      <c r="V22" s="6"/>
      <c r="W22" s="6"/>
      <c r="X22" s="50" t="s">
        <v>8</v>
      </c>
      <c r="Y22" s="6"/>
      <c r="Z22" s="50" t="s">
        <v>69</v>
      </c>
      <c r="AA22" s="6"/>
      <c r="AB22" s="6"/>
      <c r="AC22" s="6"/>
      <c r="AD22" s="7"/>
      <c r="AE22" s="52"/>
      <c r="AF22" s="16"/>
      <c r="AG22" s="16"/>
      <c r="AH22" s="16"/>
      <c r="AI22" s="16"/>
      <c r="AJ22" s="59"/>
      <c r="AK22" s="60"/>
      <c r="AL22" s="61"/>
      <c r="AM22" s="16"/>
      <c r="BC22" s="27">
        <v>8</v>
      </c>
      <c r="BD22" s="26">
        <f t="shared" si="0"/>
        <v>1</v>
      </c>
    </row>
    <row r="23" spans="1:56" ht="15.75" x14ac:dyDescent="0.25">
      <c r="A23" s="16"/>
      <c r="B23" s="63"/>
      <c r="C23" s="6"/>
      <c r="D23" s="6"/>
      <c r="E23" s="6"/>
      <c r="F23" s="6"/>
      <c r="G23" s="6"/>
      <c r="H23" s="6"/>
      <c r="I23" s="6"/>
      <c r="J23" s="6"/>
      <c r="K23" s="6"/>
      <c r="L23" s="6"/>
      <c r="M23" s="50" t="s">
        <v>6</v>
      </c>
      <c r="N23" s="6"/>
      <c r="O23" s="6"/>
      <c r="P23" s="6"/>
      <c r="Q23" s="6"/>
      <c r="R23" s="6"/>
      <c r="S23" s="6"/>
      <c r="T23" s="50" t="s">
        <v>10</v>
      </c>
      <c r="U23" s="6"/>
      <c r="V23" s="6"/>
      <c r="W23" s="6"/>
      <c r="X23" s="50" t="s">
        <v>19</v>
      </c>
      <c r="Y23" s="6"/>
      <c r="Z23" s="50" t="s">
        <v>12</v>
      </c>
      <c r="AA23" s="6"/>
      <c r="AB23" s="6"/>
      <c r="AC23" s="6"/>
      <c r="AD23" s="7"/>
      <c r="AE23" s="52"/>
      <c r="AF23" s="16"/>
      <c r="AG23" s="16"/>
      <c r="AH23" s="16"/>
      <c r="AI23" s="16"/>
      <c r="AJ23" s="59"/>
      <c r="AK23" s="60"/>
      <c r="AL23" s="61"/>
      <c r="AM23" s="16"/>
      <c r="BC23" s="27">
        <v>9</v>
      </c>
      <c r="BD23" s="26">
        <f t="shared" si="0"/>
        <v>1</v>
      </c>
    </row>
    <row r="24" spans="1:56" ht="15.75" x14ac:dyDescent="0.25">
      <c r="A24" s="16"/>
      <c r="B24" s="5"/>
      <c r="C24" s="6"/>
      <c r="D24" s="6"/>
      <c r="E24" s="6"/>
      <c r="F24" s="6"/>
      <c r="G24" s="6"/>
      <c r="H24" s="6"/>
      <c r="I24" s="6"/>
      <c r="J24" s="6"/>
      <c r="K24" s="6"/>
      <c r="L24" s="6"/>
      <c r="M24" s="50" t="s">
        <v>1</v>
      </c>
      <c r="N24" s="6"/>
      <c r="O24" s="6"/>
      <c r="P24" s="6"/>
      <c r="Q24" s="6"/>
      <c r="R24" s="6"/>
      <c r="S24" s="6"/>
      <c r="T24" s="50" t="s">
        <v>12</v>
      </c>
      <c r="U24" s="6"/>
      <c r="V24" s="6"/>
      <c r="W24" s="6"/>
      <c r="X24" s="50" t="s">
        <v>21</v>
      </c>
      <c r="Y24" s="6"/>
      <c r="Z24" s="50" t="s">
        <v>12</v>
      </c>
      <c r="AA24" s="6"/>
      <c r="AB24" s="6"/>
      <c r="AC24" s="6"/>
      <c r="AD24" s="7"/>
      <c r="AE24" s="52"/>
      <c r="AF24" s="16"/>
      <c r="AG24" s="16"/>
      <c r="AH24" s="16"/>
      <c r="AI24" s="16"/>
      <c r="AJ24" s="59"/>
      <c r="AK24" s="60"/>
      <c r="AL24" s="61"/>
      <c r="AM24" s="16"/>
      <c r="BC24" s="27">
        <v>10</v>
      </c>
      <c r="BD24" s="26">
        <f>IF(AK20=AL20,1,0)</f>
        <v>1</v>
      </c>
    </row>
    <row r="25" spans="1:56" ht="15.75" x14ac:dyDescent="0.25">
      <c r="A25" s="16"/>
      <c r="B25" s="5"/>
      <c r="C25" s="6"/>
      <c r="D25" s="6"/>
      <c r="E25" s="6"/>
      <c r="F25" s="6"/>
      <c r="G25" s="6"/>
      <c r="H25" s="6"/>
      <c r="I25" s="6"/>
      <c r="J25" s="6"/>
      <c r="K25" s="6"/>
      <c r="L25" s="6"/>
      <c r="M25" s="50" t="s">
        <v>7</v>
      </c>
      <c r="N25" s="6"/>
      <c r="O25" s="6"/>
      <c r="P25" s="6"/>
      <c r="Q25" s="6"/>
      <c r="R25" s="6"/>
      <c r="S25" s="6"/>
      <c r="T25" s="50" t="s">
        <v>11</v>
      </c>
      <c r="U25" s="6"/>
      <c r="V25" s="6"/>
      <c r="W25" s="6"/>
      <c r="X25" s="50" t="s">
        <v>12</v>
      </c>
      <c r="Y25" s="6"/>
      <c r="Z25" s="6"/>
      <c r="AA25" s="6"/>
      <c r="AB25" s="6"/>
      <c r="AC25" s="6"/>
      <c r="AD25" s="7"/>
      <c r="AE25" s="52"/>
      <c r="AF25" s="16"/>
      <c r="AG25" s="16"/>
      <c r="AH25" s="16"/>
      <c r="AI25" s="16"/>
      <c r="AJ25" s="59"/>
      <c r="AK25" s="60"/>
      <c r="AL25" s="61"/>
      <c r="AM25" s="16"/>
      <c r="BC25" s="27">
        <v>11</v>
      </c>
      <c r="BD25" s="26">
        <f t="shared" si="0"/>
        <v>1</v>
      </c>
    </row>
    <row r="26" spans="1:56" ht="15.75" x14ac:dyDescent="0.25">
      <c r="A26" s="16"/>
      <c r="B26" s="5"/>
      <c r="C26" s="6"/>
      <c r="D26" s="6"/>
      <c r="E26" s="6"/>
      <c r="F26" s="6"/>
      <c r="G26" s="6"/>
      <c r="H26" s="6"/>
      <c r="I26" s="6"/>
      <c r="J26" s="6"/>
      <c r="K26" s="6"/>
      <c r="L26" s="6"/>
      <c r="M26" s="50" t="s">
        <v>4</v>
      </c>
      <c r="N26" s="6"/>
      <c r="O26" s="6"/>
      <c r="P26" s="6"/>
      <c r="Q26" s="6"/>
      <c r="R26" s="6"/>
      <c r="S26" s="6"/>
      <c r="T26" s="50" t="s">
        <v>2</v>
      </c>
      <c r="U26" s="6"/>
      <c r="V26" s="6"/>
      <c r="W26" s="6"/>
      <c r="X26" s="50" t="s">
        <v>3</v>
      </c>
      <c r="Y26" s="6"/>
      <c r="Z26" s="6"/>
      <c r="AA26" s="6"/>
      <c r="AB26" s="6"/>
      <c r="AC26" s="6"/>
      <c r="AD26" s="7"/>
      <c r="AE26" s="52"/>
      <c r="AF26" s="16"/>
      <c r="AG26" s="16"/>
      <c r="AH26" s="16"/>
      <c r="AI26" s="16"/>
      <c r="AJ26" s="16"/>
      <c r="AK26" s="16"/>
      <c r="AL26" s="16"/>
      <c r="AM26" s="16"/>
      <c r="BC26" s="27">
        <v>12</v>
      </c>
      <c r="BD26" s="26">
        <f>IF(AK22=AL22,1,0)</f>
        <v>1</v>
      </c>
    </row>
    <row r="27" spans="1:56" ht="15.75" x14ac:dyDescent="0.25">
      <c r="A27" s="16"/>
      <c r="B27" s="5"/>
      <c r="C27" s="6"/>
      <c r="D27" s="6"/>
      <c r="E27" s="6"/>
      <c r="F27" s="6"/>
      <c r="G27" s="6"/>
      <c r="H27" s="6"/>
      <c r="I27" s="6"/>
      <c r="J27" s="6"/>
      <c r="K27" s="6"/>
      <c r="L27" s="6"/>
      <c r="M27" s="50" t="s">
        <v>5</v>
      </c>
      <c r="N27" s="6"/>
      <c r="O27" s="6"/>
      <c r="P27" s="6"/>
      <c r="Q27" s="6"/>
      <c r="R27" s="6"/>
      <c r="S27" s="6"/>
      <c r="T27" s="50" t="s">
        <v>9</v>
      </c>
      <c r="U27" s="6"/>
      <c r="V27" s="6"/>
      <c r="W27" s="6"/>
      <c r="X27" s="50" t="s">
        <v>2</v>
      </c>
      <c r="Y27" s="6"/>
      <c r="Z27" s="6"/>
      <c r="AA27" s="6"/>
      <c r="AB27" s="6"/>
      <c r="AC27" s="6"/>
      <c r="AD27" s="7"/>
      <c r="AE27" s="52"/>
      <c r="AF27" s="16"/>
      <c r="AG27" s="16"/>
      <c r="AH27" s="16"/>
      <c r="AI27" s="16"/>
      <c r="BC27" s="27">
        <v>13</v>
      </c>
      <c r="BD27" s="26">
        <f t="shared" si="0"/>
        <v>1</v>
      </c>
    </row>
    <row r="28" spans="1:56" ht="15.75" x14ac:dyDescent="0.25">
      <c r="A28" s="16"/>
      <c r="B28" s="5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50" t="s">
        <v>15</v>
      </c>
      <c r="N28" s="62"/>
      <c r="O28" s="62"/>
      <c r="P28" s="62"/>
      <c r="Q28" s="62"/>
      <c r="R28" s="62"/>
      <c r="S28" s="62"/>
      <c r="T28" s="50" t="s">
        <v>4</v>
      </c>
      <c r="U28" s="62"/>
      <c r="V28" s="62"/>
      <c r="W28" s="62"/>
      <c r="X28" s="50" t="s">
        <v>9</v>
      </c>
      <c r="Y28" s="62"/>
      <c r="Z28" s="62"/>
      <c r="AA28" s="62"/>
      <c r="AB28" s="62"/>
      <c r="AC28" s="62"/>
      <c r="AD28" s="7"/>
      <c r="AE28" s="1"/>
      <c r="AF28" s="16"/>
      <c r="AG28" s="16"/>
      <c r="AH28" s="16"/>
      <c r="AI28" s="16"/>
      <c r="BC28" s="27">
        <v>14</v>
      </c>
      <c r="BD28" s="26">
        <f t="shared" si="0"/>
        <v>1</v>
      </c>
    </row>
    <row r="29" spans="1:56" ht="15.75" x14ac:dyDescent="0.25">
      <c r="A29" s="16"/>
      <c r="B29" s="5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50" t="s">
        <v>9</v>
      </c>
      <c r="N29" s="62"/>
      <c r="O29" s="62"/>
      <c r="P29" s="62"/>
      <c r="Q29" s="62"/>
      <c r="R29" s="62"/>
      <c r="S29" s="62"/>
      <c r="T29" s="50" t="s">
        <v>12</v>
      </c>
      <c r="U29" s="62"/>
      <c r="V29" s="62"/>
      <c r="W29" s="62"/>
      <c r="X29" s="50" t="s">
        <v>4</v>
      </c>
      <c r="Y29" s="62"/>
      <c r="Z29" s="62"/>
      <c r="AA29" s="62"/>
      <c r="AB29" s="62"/>
      <c r="AC29" s="62"/>
      <c r="AD29" s="7"/>
      <c r="AE29" s="1"/>
      <c r="AF29" s="16"/>
      <c r="AG29" s="16"/>
      <c r="AH29" s="16"/>
      <c r="AI29" s="16"/>
      <c r="BC29" s="27">
        <v>15</v>
      </c>
      <c r="BD29" s="26">
        <f>IF(AK25=AL25,1,0)</f>
        <v>1</v>
      </c>
    </row>
    <row r="30" spans="1:56" ht="15.75" x14ac:dyDescent="0.25">
      <c r="A30" s="16"/>
      <c r="B30" s="5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50" t="s">
        <v>1</v>
      </c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50" t="s">
        <v>12</v>
      </c>
      <c r="Y30" s="62"/>
      <c r="Z30" s="62"/>
      <c r="AA30" s="62"/>
      <c r="AB30" s="62"/>
      <c r="AC30" s="62"/>
      <c r="AD30" s="7"/>
      <c r="AE30" s="1"/>
      <c r="AF30" s="16"/>
      <c r="AG30" s="16"/>
      <c r="AH30" s="16"/>
      <c r="AI30" s="16"/>
    </row>
    <row r="31" spans="1:56" ht="15.75" x14ac:dyDescent="0.25">
      <c r="A31" s="16"/>
      <c r="B31" s="8"/>
      <c r="C31" s="9"/>
      <c r="D31" s="9"/>
      <c r="E31" s="9"/>
      <c r="F31" s="9"/>
      <c r="G31" s="9"/>
      <c r="H31" s="9"/>
      <c r="I31" s="9"/>
      <c r="J31" s="9"/>
      <c r="K31" s="9"/>
      <c r="L31" s="10"/>
      <c r="M31" s="50" t="s">
        <v>12</v>
      </c>
      <c r="N31" s="8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10"/>
      <c r="AE31" s="1"/>
      <c r="AF31" s="16"/>
      <c r="AG31" s="16"/>
      <c r="AH31" s="16"/>
      <c r="AI31" s="16"/>
    </row>
    <row r="32" spans="1:56" ht="15.75" x14ac:dyDescent="0.25">
      <c r="A32" s="16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6"/>
      <c r="AG32" s="16"/>
      <c r="AH32" s="16"/>
      <c r="AI32" s="16"/>
    </row>
  </sheetData>
  <protectedRanges>
    <protectedRange sqref="C22:M22" name="Диапазон15"/>
    <protectedRange sqref="E20:L20" name="Диапазон14"/>
    <protectedRange sqref="U14:AD14" name="Диапазон13"/>
    <protectedRange sqref="U17:AB17" name="Диапазон12"/>
    <protectedRange sqref="U14:U25" name="Диапазон11"/>
    <protectedRange sqref="O21:Y21" name="Диапазон10"/>
    <protectedRange sqref="R17:R25" name="Диапазон9"/>
    <protectedRange sqref="J18:S18" name="Диапазон8"/>
    <protectedRange sqref="E15:E23" name="Диапазон7"/>
    <protectedRange sqref="D16:L16" name="Диапазон6"/>
    <protectedRange sqref="H13:K13" name="Диапазон5"/>
    <protectedRange sqref="M8:M15" name="Диапазон4"/>
    <protectedRange sqref="J9:J16" name="Диапазон3"/>
    <protectedRange sqref="P9:P19" name="Диапазон2"/>
    <protectedRange sqref="J9:P9" name="Диапазон1"/>
  </protectedRanges>
  <mergeCells count="3">
    <mergeCell ref="AG16:AH16"/>
    <mergeCell ref="AJ10:AK10"/>
    <mergeCell ref="AG9:AH9"/>
  </mergeCells>
  <dataValidations count="1">
    <dataValidation type="textLength" allowBlank="1" showInputMessage="1" showErrorMessage="1" sqref="M8:M15 P9:P19 J18:S18 R17:R25 O21:Y21 U14:U25 U14:AD14 V17:AB17 C22:M22 E15:E23 D16:L16 F20:L20 J9:J15 H13:K13 K9:P9">
      <formula1>0</formula1>
      <formula2>1</formula2>
    </dataValidation>
  </dataValidations>
  <pageMargins left="0.7" right="0.7" top="0.75" bottom="0.75" header="0.3" footer="0.3"/>
  <ignoredErrors>
    <ignoredError sqref="AG12" twoDigitTextYear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Кроссворд</vt:lpstr>
      <vt:lpstr>Вопросы</vt:lpstr>
      <vt:lpstr>Результат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Васильева_АВ</dc:creator>
  <cp:lastModifiedBy>Бородин_АЮ</cp:lastModifiedBy>
  <dcterms:created xsi:type="dcterms:W3CDTF">2022-10-22T01:56:08Z</dcterms:created>
  <dcterms:modified xsi:type="dcterms:W3CDTF">2024-04-15T03:37:20Z</dcterms:modified>
</cp:coreProperties>
</file>